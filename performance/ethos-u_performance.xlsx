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CCLi8\IoT\ethos-u\my_ethos_u_work\Performance\"/>
    </mc:Choice>
  </mc:AlternateContent>
  <xr:revisionPtr revIDLastSave="0" documentId="13_ncr:1_{57B9B23E-13F4-4B27-B7A7-F17B7879A2F4}" xr6:coauthVersionLast="47" xr6:coauthVersionMax="47" xr10:uidLastSave="{00000000-0000-0000-0000-000000000000}"/>
  <bookViews>
    <workbookView xWindow="-110" yWindow="-110" windowWidth="19420" windowHeight="11500" firstSheet="2" activeTab="2" xr2:uid="{00000000-000D-0000-FFFF-FFFF00000000}"/>
  </bookViews>
  <sheets>
    <sheet name="MLEK_FVP" sheetId="1" r:id="rId1"/>
    <sheet name="MLEK_FVP_ASR_CMP" sheetId="4" r:id="rId2"/>
    <sheet name="MLEK_FVP_ASR_CONFORMER" sheetId="5" r:id="rId3"/>
    <sheet name="MLEK_FVP_ASR_CONFORMER_2" sheetId="8" r:id="rId4"/>
    <sheet name="MLEK_FVP_IMG_CLASS_DEIT_TINY" sheetId="6" r:id="rId5"/>
    <sheet name="MLEK_FVP_IMG_CLASS_DEIT_TINY_2" sheetId="7" r:id="rId6"/>
    <sheet name="MLEK_VELA" sheetId="3" r:id="rId7"/>
    <sheet name="MLEK_VELA_DEF" sheetId="2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5" l="1"/>
  <c r="P14" i="5" s="1"/>
  <c r="F14" i="5"/>
  <c r="M13" i="5"/>
  <c r="P13" i="5" s="1"/>
  <c r="F13" i="5"/>
  <c r="M12" i="5"/>
  <c r="O12" i="5" s="1"/>
  <c r="F12" i="5"/>
  <c r="M11" i="5"/>
  <c r="F11" i="5"/>
  <c r="H20" i="6"/>
  <c r="H19" i="6"/>
  <c r="H18" i="6"/>
  <c r="H17" i="6"/>
  <c r="H15" i="6"/>
  <c r="H14" i="6"/>
  <c r="H13" i="6"/>
  <c r="H12" i="6"/>
  <c r="H10" i="6"/>
  <c r="H9" i="6"/>
  <c r="H8" i="6"/>
  <c r="H7" i="6"/>
  <c r="M19" i="5"/>
  <c r="O19" i="5" s="1"/>
  <c r="M18" i="5"/>
  <c r="M17" i="5"/>
  <c r="O17" i="5" s="1"/>
  <c r="M16" i="5"/>
  <c r="O16" i="5" s="1"/>
  <c r="M9" i="5"/>
  <c r="M8" i="5"/>
  <c r="M7" i="5"/>
  <c r="P7" i="5" s="1"/>
  <c r="M6" i="5"/>
  <c r="P6" i="5" s="1"/>
  <c r="F19" i="5"/>
  <c r="P19" i="5" s="1"/>
  <c r="O18" i="5"/>
  <c r="F18" i="5"/>
  <c r="P18" i="5" s="1"/>
  <c r="F17" i="5"/>
  <c r="F16" i="5"/>
  <c r="F9" i="5"/>
  <c r="F8" i="5"/>
  <c r="P8" i="5" s="1"/>
  <c r="F7" i="5"/>
  <c r="F6" i="5"/>
  <c r="F15" i="3"/>
  <c r="AR15" i="3"/>
  <c r="AS15" i="3"/>
  <c r="AN15" i="3"/>
  <c r="AO15" i="3"/>
  <c r="AJ15" i="3"/>
  <c r="AK15" i="3"/>
  <c r="AF15" i="3"/>
  <c r="AG15" i="3"/>
  <c r="AB15" i="3"/>
  <c r="AC15" i="3"/>
  <c r="V15" i="3"/>
  <c r="W15" i="3"/>
  <c r="R15" i="3"/>
  <c r="S15" i="3"/>
  <c r="N15" i="3"/>
  <c r="O15" i="3"/>
  <c r="J15" i="3"/>
  <c r="K15" i="3"/>
  <c r="G15" i="3"/>
  <c r="AT15" i="3"/>
  <c r="AP15" i="3"/>
  <c r="AL15" i="3"/>
  <c r="AH15" i="3"/>
  <c r="AD15" i="3"/>
  <c r="X15" i="3"/>
  <c r="T15" i="3"/>
  <c r="P15" i="3"/>
  <c r="L15" i="3"/>
  <c r="H15" i="3"/>
  <c r="M23" i="1" a="1"/>
  <c r="M23" i="1" s="1"/>
  <c r="M22" i="1" a="1"/>
  <c r="M22" i="1" s="1"/>
  <c r="M20" i="1" a="1"/>
  <c r="M20" i="1" s="1"/>
  <c r="M19" i="1" a="1"/>
  <c r="M19" i="1" s="1"/>
  <c r="M18" i="1" a="1"/>
  <c r="M18" i="1" s="1"/>
  <c r="M17" i="1" a="1"/>
  <c r="M17" i="1" s="1"/>
  <c r="M16" i="1" a="1"/>
  <c r="M16" i="1" s="1"/>
  <c r="M14" i="1" a="1"/>
  <c r="M14" i="1" s="1"/>
  <c r="M13" i="1" a="1"/>
  <c r="M13" i="1" s="1"/>
  <c r="M11" i="1" a="1"/>
  <c r="M11" i="1" s="1"/>
  <c r="M10" i="1" a="1"/>
  <c r="M10" i="1" s="1"/>
  <c r="M9" i="1" a="1"/>
  <c r="M9" i="1" s="1"/>
  <c r="M8" i="1" a="1"/>
  <c r="M8" i="1" s="1"/>
  <c r="M7" i="1" a="1"/>
  <c r="M7" i="1" s="1"/>
  <c r="O17" i="2"/>
  <c r="N17" i="2"/>
  <c r="M17" i="2"/>
  <c r="L17" i="2"/>
  <c r="K17" i="2"/>
  <c r="I17" i="2"/>
  <c r="H17" i="2"/>
  <c r="G17" i="2"/>
  <c r="F17" i="2"/>
  <c r="E17" i="2"/>
  <c r="P12" i="5" l="1"/>
  <c r="P11" i="5"/>
  <c r="O14" i="5"/>
  <c r="O6" i="5"/>
  <c r="O11" i="5"/>
  <c r="O13" i="5"/>
  <c r="P16" i="5"/>
  <c r="P17" i="5"/>
  <c r="P9" i="5"/>
  <c r="O7" i="5"/>
  <c r="O9" i="5"/>
  <c r="O8" i="5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<sst xmlns="http://schemas.openxmlformats.org/spreadsheetml/2006/main" count="311" uniqueCount="176">
  <si>
    <t>Simulator</t>
    <phoneticPr fontId="1" type="noConversion"/>
  </si>
  <si>
    <t>MACs</t>
    <phoneticPr fontId="1" type="noConversion"/>
  </si>
  <si>
    <t>Framework</t>
    <phoneticPr fontId="1" type="noConversion"/>
  </si>
  <si>
    <t>Corstone-310</t>
    <phoneticPr fontId="1" type="noConversion"/>
  </si>
  <si>
    <t>Corstone-320</t>
    <phoneticPr fontId="1" type="noConversion"/>
  </si>
  <si>
    <t>CPU(MHz)</t>
    <phoneticPr fontId="1" type="noConversion"/>
  </si>
  <si>
    <t>U55</t>
    <phoneticPr fontId="1" type="noConversion"/>
  </si>
  <si>
    <t>U85</t>
    <phoneticPr fontId="1" type="noConversion"/>
  </si>
  <si>
    <t>ad</t>
    <phoneticPr fontId="1" type="noConversion"/>
  </si>
  <si>
    <t>asr</t>
    <phoneticPr fontId="1" type="noConversion"/>
  </si>
  <si>
    <t>img_class</t>
    <phoneticPr fontId="1" type="noConversion"/>
  </si>
  <si>
    <t>kws</t>
    <phoneticPr fontId="1" type="noConversion"/>
  </si>
  <si>
    <t>noise_reduction</t>
    <phoneticPr fontId="1" type="noConversion"/>
  </si>
  <si>
    <t>kws_asr</t>
    <phoneticPr fontId="1" type="noConversion"/>
  </si>
  <si>
    <t>object_detection</t>
    <phoneticPr fontId="1" type="noConversion"/>
  </si>
  <si>
    <t>vww</t>
  </si>
  <si>
    <t>TFLM</t>
    <phoneticPr fontId="1" type="noConversion"/>
  </si>
  <si>
    <t>ExecutTorch</t>
    <phoneticPr fontId="1" type="noConversion"/>
  </si>
  <si>
    <t>Total cycles/
Active cycles/
Idle cycles</t>
    <phoneticPr fontId="1" type="noConversion"/>
  </si>
  <si>
    <t>Application/
Model</t>
    <phoneticPr fontId="1" type="noConversion"/>
  </si>
  <si>
    <t>Toolchain</t>
    <phoneticPr fontId="1" type="noConversion"/>
  </si>
  <si>
    <t>gcc</t>
    <phoneticPr fontId="1" type="noConversion"/>
  </si>
  <si>
    <t>211050/
210272//
778</t>
    <phoneticPr fontId="1" type="noConversion"/>
  </si>
  <si>
    <t>198868/
198230/
638</t>
    <phoneticPr fontId="1" type="noConversion"/>
  </si>
  <si>
    <t>41813/
23431/
10025/
1</t>
    <phoneticPr fontId="1" type="noConversion"/>
  </si>
  <si>
    <t>AXI0 read beats/
AXI0 write beats/
AXI1 read beats/
AXI1 write beats</t>
    <phoneticPr fontId="1" type="noConversion"/>
  </si>
  <si>
    <t>92400/
48616/
17631/
0</t>
    <phoneticPr fontId="1" type="noConversion"/>
  </si>
  <si>
    <t>498050/
497888/
162</t>
    <phoneticPr fontId="1" type="noConversion"/>
  </si>
  <si>
    <t>377068/
376021/
1047</t>
    <phoneticPr fontId="1" type="noConversion"/>
  </si>
  <si>
    <t>369654/
138343/
56187/
0</t>
    <phoneticPr fontId="1" type="noConversion"/>
  </si>
  <si>
    <t>125776/
56614/
28615/
1</t>
    <phoneticPr fontId="1" type="noConversion"/>
  </si>
  <si>
    <t>14644050/
14643257/
793</t>
    <phoneticPr fontId="1" type="noConversion"/>
  </si>
  <si>
    <t>6941179/
1853478/
1732537/
0</t>
    <phoneticPr fontId="1" type="noConversion"/>
  </si>
  <si>
    <t>15146068/
15145640/
428</t>
    <phoneticPr fontId="1" type="noConversion"/>
  </si>
  <si>
    <t>2709668/
926420/
1694536/
37545</t>
    <phoneticPr fontId="1" type="noConversion"/>
  </si>
  <si>
    <t>3370050/
3369721/
329</t>
    <phoneticPr fontId="1" type="noConversion"/>
  </si>
  <si>
    <t>2159849/
1304743/
434483/
0</t>
    <phoneticPr fontId="1" type="noConversion"/>
  </si>
  <si>
    <t>2874068/
2873773/
295</t>
    <phoneticPr fontId="1" type="noConversion"/>
  </si>
  <si>
    <t>949044/
412706/
289041/
47887</t>
    <phoneticPr fontId="1" type="noConversion"/>
  </si>
  <si>
    <t>211050/
210272/
778</t>
    <phoneticPr fontId="1" type="noConversion"/>
  </si>
  <si>
    <t>198925/
198379/
546</t>
    <phoneticPr fontId="1" type="noConversion"/>
  </si>
  <si>
    <t>ERROR</t>
    <phoneticPr fontId="1" type="noConversion"/>
  </si>
  <si>
    <t>1105053/
1104760/
293</t>
    <phoneticPr fontId="1" type="noConversion"/>
  </si>
  <si>
    <t>565453/
427987/
46803/
0</t>
    <phoneticPr fontId="1" type="noConversion"/>
  </si>
  <si>
    <t>812074/
811264/
810</t>
    <phoneticPr fontId="1" type="noConversion"/>
  </si>
  <si>
    <t>262176/
190232/
28068/
517</t>
    <phoneticPr fontId="1" type="noConversion"/>
  </si>
  <si>
    <t>vww</t>
    <phoneticPr fontId="1" type="noConversion"/>
  </si>
  <si>
    <t>398050/
397058/
992</t>
    <phoneticPr fontId="1" type="noConversion"/>
  </si>
  <si>
    <t>208799/
161079/
41767/
0</t>
    <phoneticPr fontId="1" type="noConversion"/>
  </si>
  <si>
    <t>287068/
286067/
1001</t>
    <phoneticPr fontId="1" type="noConversion"/>
  </si>
  <si>
    <t>80960/
63695/
23346/
1</t>
    <phoneticPr fontId="1" type="noConversion"/>
  </si>
  <si>
    <t>56982056/
56981255/
801</t>
    <phoneticPr fontId="1" type="noConversion"/>
  </si>
  <si>
    <t>8627455/
6807086/
4077010/
2082504</t>
    <phoneticPr fontId="1" type="noConversion"/>
  </si>
  <si>
    <t>3051056/
3050094/
962</t>
    <phoneticPr fontId="1" type="noConversion"/>
  </si>
  <si>
    <t>947815/
411948/
339915/
98063</t>
    <phoneticPr fontId="1" type="noConversion"/>
  </si>
  <si>
    <t>PyTorch Transformer</t>
    <phoneticPr fontId="1" type="noConversion"/>
  </si>
  <si>
    <t>Ethos-U type</t>
    <phoneticPr fontId="1" type="noConversion"/>
  </si>
  <si>
    <t>SRAM (arena cache) size (KB)</t>
    <phoneticPr fontId="1" type="noConversion"/>
  </si>
  <si>
    <t>50396056/
50395078/
978</t>
    <phoneticPr fontId="1" type="noConversion"/>
  </si>
  <si>
    <t>7888567/
6772913/
1916049/
1035495</t>
    <phoneticPr fontId="1" type="noConversion"/>
  </si>
  <si>
    <t>img_class
(Deit tiny)
(Transformer)</t>
    <phoneticPr fontId="1" type="noConversion"/>
  </si>
  <si>
    <t>asr
(Transformer)</t>
    <phoneticPr fontId="1" type="noConversion"/>
  </si>
  <si>
    <t>img_class
(Mobilenet V2)
(Non-Transformer)</t>
    <phoneticPr fontId="1" type="noConversion"/>
  </si>
  <si>
    <t>Conformer</t>
  </si>
  <si>
    <t>Deit tiny</t>
  </si>
  <si>
    <t>Complexity (MACs)</t>
    <phoneticPr fontId="1" type="noConversion"/>
  </si>
  <si>
    <t>CPU Ops (%)</t>
    <phoneticPr fontId="1" type="noConversion"/>
  </si>
  <si>
    <t>Compression (%)</t>
    <phoneticPr fontId="1" type="noConversion"/>
  </si>
  <si>
    <t>Source file size (bytes)</t>
    <phoneticPr fontId="1" type="noConversion"/>
  </si>
  <si>
    <t>Optimized file size (bytes)</t>
    <phoneticPr fontId="1" type="noConversion"/>
  </si>
  <si>
    <t>Model source</t>
    <phoneticPr fontId="1" type="noConversion"/>
  </si>
  <si>
    <t>Performance rate (%)</t>
    <phoneticPr fontId="1" type="noConversion"/>
  </si>
  <si>
    <t>Automatic speech recognition</t>
    <phoneticPr fontId="1" type="noConversion"/>
  </si>
  <si>
    <t>Image classification</t>
    <phoneticPr fontId="1" type="noConversion"/>
  </si>
  <si>
    <t>Applications</t>
    <phoneticPr fontId="1" type="noConversion"/>
  </si>
  <si>
    <t>Model type</t>
    <phoneticPr fontId="1" type="noConversion"/>
  </si>
  <si>
    <t>Total SRAM use (KB)</t>
    <phoneticPr fontId="1" type="noConversion"/>
  </si>
  <si>
    <t>Total DRAM use (KB)</t>
    <phoneticPr fontId="1" type="noConversion"/>
  </si>
  <si>
    <t>SRAM bandwidth (GB/s)</t>
    <phoneticPr fontId="1" type="noConversion"/>
  </si>
  <si>
    <t>DRAM bandwidth (GB/s)</t>
    <phoneticPr fontId="1" type="noConversion"/>
  </si>
  <si>
    <t>Inference rate (inf/s)</t>
    <phoneticPr fontId="1" type="noConversion"/>
  </si>
  <si>
    <t>System config</t>
    <phoneticPr fontId="1" type="noConversion"/>
  </si>
  <si>
    <t>Ethos_U85_SYS_DRAM_Low</t>
    <phoneticPr fontId="1" type="noConversion"/>
  </si>
  <si>
    <t>Ethos_U85_SYS_DRAM_Mid_512</t>
    <phoneticPr fontId="1" type="noConversion"/>
  </si>
  <si>
    <t>Ethos_U85_SYS_DRAM_Mid_1024</t>
    <phoneticPr fontId="1" type="noConversion"/>
  </si>
  <si>
    <t>Ethos_U85_SYS_DRAM_High_2048</t>
    <phoneticPr fontId="1" type="noConversion"/>
  </si>
  <si>
    <t>System_Config</t>
    <phoneticPr fontId="1" type="noConversion"/>
  </si>
  <si>
    <t>Ethos_U55_High_End_Embedded
(SRAM 4 GB/s, Flash 0.5 GB/s)</t>
    <phoneticPr fontId="1" type="noConversion"/>
  </si>
  <si>
    <t>Ethos_U85_SYS_DRAM_Low
(SRAM 16 GB/s, DRAM 3.75 GB/s)</t>
    <phoneticPr fontId="1" type="noConversion"/>
  </si>
  <si>
    <t>SRAM cache size (KB)</t>
    <phoneticPr fontId="1" type="noConversion"/>
  </si>
  <si>
    <t>Avg SRAM bandwidth (GB/s)</t>
    <phoneticPr fontId="1" type="noConversion"/>
  </si>
  <si>
    <t>Avg DRAM bandwidth (GB/s)</t>
    <phoneticPr fontId="1" type="noConversion"/>
  </si>
  <si>
    <t>Dzn SRAM bandwidth (GB/s)</t>
    <phoneticPr fontId="1" type="noConversion"/>
  </si>
  <si>
    <t>Dzn DRAM bandwidth (GB/s)</t>
    <phoneticPr fontId="1" type="noConversion"/>
  </si>
  <si>
    <t>Source audio file (*.wav)</t>
    <phoneticPr fontId="1" type="noConversion"/>
  </si>
  <si>
    <t>Original speech</t>
    <phoneticPr fontId="1" type="noConversion"/>
  </si>
  <si>
    <t>Decoded text (wav2letter)</t>
    <phoneticPr fontId="1" type="noConversion"/>
  </si>
  <si>
    <t>Decoded text (Conformer)</t>
    <phoneticPr fontId="1" type="noConversion"/>
  </si>
  <si>
    <t>another_door.wav</t>
    <phoneticPr fontId="1" type="noConversion"/>
  </si>
  <si>
    <t>another_engineer.wav</t>
    <phoneticPr fontId="1" type="noConversion"/>
  </si>
  <si>
    <t>i_tell_you.wav</t>
    <phoneticPr fontId="1" type="noConversion"/>
  </si>
  <si>
    <t>This isn't part of your testing routine is it</t>
    <phoneticPr fontId="1" type="noConversion"/>
  </si>
  <si>
    <t>Another engineer rushed toward the door to see what was happening outside</t>
    <phoneticPr fontId="1" type="noConversion"/>
  </si>
  <si>
    <t>And he walked immediately out of the apartment by another door</t>
    <phoneticPr fontId="1" type="noConversion"/>
  </si>
  <si>
    <t>I tell you it is not poison she cried</t>
    <phoneticPr fontId="1" type="noConversion"/>
  </si>
  <si>
    <t xml:space="preserve">
testing_routine.wav</t>
    <phoneticPr fontId="1" type="noConversion"/>
  </si>
  <si>
    <t>Ethos-U(MHz)</t>
    <phoneticPr fontId="1" type="noConversion"/>
  </si>
  <si>
    <t>Ethos-U clock (MHz)</t>
    <phoneticPr fontId="1" type="noConversion"/>
  </si>
  <si>
    <t>Sample rate</t>
    <phoneticPr fontId="1" type="noConversion"/>
  </si>
  <si>
    <t>Samples</t>
    <phoneticPr fontId="1" type="noConversion"/>
  </si>
  <si>
    <t>Token rate</t>
    <phoneticPr fontId="1" type="noConversion"/>
  </si>
  <si>
    <t>Ethos-U cycles / Inf.</t>
    <phoneticPr fontId="1" type="noConversion"/>
  </si>
  <si>
    <t>Inf. rate</t>
    <phoneticPr fontId="1" type="noConversion"/>
  </si>
  <si>
    <t>Duration(s)</t>
    <phoneticPr fontId="1" type="noConversion"/>
  </si>
  <si>
    <t>Decoded tokens</t>
    <phoneticPr fontId="1" type="noConversion"/>
  </si>
  <si>
    <t>Ethos-U MAC</t>
    <phoneticPr fontId="1" type="noConversion"/>
  </si>
  <si>
    <t>Real-time factor</t>
    <phoneticPr fontId="1" type="noConversion"/>
  </si>
  <si>
    <t>Source audio file
(*.wav)</t>
    <phoneticPr fontId="1" type="noConversion"/>
  </si>
  <si>
    <t>Ethos-U freq.</t>
    <phoneticPr fontId="1" type="noConversion"/>
  </si>
  <si>
    <t>and he walked immediately out of the apartment by another door</t>
    <phoneticPr fontId="1" type="noConversion"/>
  </si>
  <si>
    <t>another engineer rushed toward the door to see what was happening outside</t>
    <phoneticPr fontId="1" type="noConversion"/>
  </si>
  <si>
    <t>i tell you it is not poison she cried</t>
    <phoneticPr fontId="1" type="noConversion"/>
  </si>
  <si>
    <t>this is in part of your testing routine is it</t>
    <phoneticPr fontId="1" type="noConversion"/>
  </si>
  <si>
    <t>and he walked immediately out of the aparchment by another door</t>
    <phoneticPr fontId="1" type="noConversion"/>
  </si>
  <si>
    <t>another engineer rushe toward the dooor to see what was happening outside</t>
    <phoneticPr fontId="1" type="noConversion"/>
  </si>
  <si>
    <t>i tell you it his not poiison she cried</t>
    <phoneticPr fontId="1" type="noConversion"/>
  </si>
  <si>
    <t>this is in part of your tasting routin as it</t>
    <phoneticPr fontId="1" type="noConversion"/>
  </si>
  <si>
    <t>MLEK: 26.03
GCC toolchain: 14.2/15.3 OK, 15.2 failed</t>
    <phoneticPr fontId="1" type="noConversion"/>
  </si>
  <si>
    <t>MLEK: 26.03
GCC toolchain: 15.2</t>
    <phoneticPr fontId="1" type="noConversion"/>
  </si>
  <si>
    <t>MLEK: 26.03
GCC toolchain: 15.3</t>
    <phoneticPr fontId="1" type="noConversion"/>
  </si>
  <si>
    <t>Source image file
(*.bmp)</t>
    <phoneticPr fontId="1" type="noConversion"/>
  </si>
  <si>
    <t>cat.bmp</t>
    <phoneticPr fontId="1" type="noConversion"/>
  </si>
  <si>
    <t>dog.bmp</t>
    <phoneticPr fontId="1" type="noConversion"/>
  </si>
  <si>
    <t>kimono.bmp</t>
    <phoneticPr fontId="1" type="noConversion"/>
  </si>
  <si>
    <t>0) 292 (5.093660) -&gt; tiger, Panthera tigris
1) 288 (5.046929) -&gt; leopard, Panthera pardus
2) 282 (4.906737) -&gt; tiger cat
3) 289 (4.673083) -&gt; snow leopard, ounce, Panthera uncia
4) 281 (4.673083) -&gt; tabby, tabby cat</t>
    <phoneticPr fontId="1" type="noConversion"/>
  </si>
  <si>
    <t>0) 208 (6.075007) -&gt; Labrador retriever
1) 179 (5.420776) -&gt; Staffordshire bullterrier, Staffordshire bull terrier
2) 254 (5.187122) -&gt; pug, pug-dog
3) 210 (5.000198) -&gt; German short-haired pointe
4) 234 (4.766544) -&gt; Rottweiler</t>
    <phoneticPr fontId="1" type="noConversion"/>
  </si>
  <si>
    <t>0) 611 (4.579621) -&gt; jigsaw puzzle
1) 300 (2.944042) -&gt; tiger beetle
2) 917 (2.897311) -&gt; comic book
3) 400 (2.897311) -&gt; academic gown, academic robe, judge's robe
4) 918 (2.663657) -&gt; crossword puzzle, crossword</t>
    <phoneticPr fontId="1" type="noConversion"/>
  </si>
  <si>
    <t>Class result (top 5)</t>
    <phoneticPr fontId="1" type="noConversion"/>
  </si>
  <si>
    <t>0) 292 (7.056355) -&gt; tiger, Panthera tigris
1) 282 (6.121738) -&gt; tiger cat
2) 340 (3.645005) -&gt; zebra
3) 353 (2.710388) -&gt; gazelle
4) 290 (2.570195) -&gt; jaguar, panther, Panthera onca, Felis onca</t>
    <phoneticPr fontId="1" type="noConversion"/>
  </si>
  <si>
    <t>251-137823-0000.wav</t>
    <phoneticPr fontId="1" type="noConversion"/>
  </si>
  <si>
    <t>251-137823-0002.wav</t>
    <phoneticPr fontId="1" type="noConversion"/>
  </si>
  <si>
    <t>251-137823-0005.wav</t>
    <phoneticPr fontId="1" type="noConversion"/>
  </si>
  <si>
    <t>251-137823-0006.wav</t>
    <phoneticPr fontId="1" type="noConversion"/>
  </si>
  <si>
    <t>251-137823-0007.wav</t>
    <phoneticPr fontId="1" type="noConversion"/>
  </si>
  <si>
    <t>251-137823-0012.wav</t>
    <phoneticPr fontId="1" type="noConversion"/>
  </si>
  <si>
    <t>251-137823-0015.wav</t>
    <phoneticPr fontId="1" type="noConversion"/>
  </si>
  <si>
    <t>251-137823-0017.wav</t>
    <phoneticPr fontId="1" type="noConversion"/>
  </si>
  <si>
    <t>251-137823-0023.wav</t>
    <phoneticPr fontId="1" type="noConversion"/>
  </si>
  <si>
    <t>251-137823-0024.wav</t>
    <phoneticPr fontId="1" type="noConversion"/>
  </si>
  <si>
    <t>251-137823-0025.wav</t>
    <phoneticPr fontId="1" type="noConversion"/>
  </si>
  <si>
    <t>251-137823-0026.wav</t>
    <phoneticPr fontId="1" type="noConversion"/>
  </si>
  <si>
    <t>I'LL BE GLAD TO TRY SIR HE REPLIED</t>
    <phoneticPr fontId="1" type="noConversion"/>
  </si>
  <si>
    <t>THIS ISN'T PART OF YOUR TESTING ROUTINE IS IT</t>
    <phoneticPr fontId="1" type="noConversion"/>
  </si>
  <si>
    <t>AN INSTANT LATER IT CRASHED OVER PINNING MARK FABER BENEATH IT</t>
    <phoneticPr fontId="1" type="noConversion"/>
  </si>
  <si>
    <t>BUD THREW UP HIS ARMS TO PROTECT HIMSELF BUT TOO LATE</t>
    <phoneticPr fontId="1" type="noConversion"/>
  </si>
  <si>
    <t>FOR MINUTES NO ONE STIRRED AMONG THE WRECKAGE</t>
    <phoneticPr fontId="1" type="noConversion"/>
  </si>
  <si>
    <t>HIS FRIEND'S EYELIDS FLICKERED</t>
    <phoneticPr fontId="1" type="noConversion"/>
  </si>
  <si>
    <t>LET'S SEE ABOUT GETTING HELP FOR MISTER FABER</t>
    <phoneticPr fontId="1" type="noConversion"/>
  </si>
  <si>
    <t>ANYHOW WE WANT TO HELP GOT A JOB FOR US</t>
    <phoneticPr fontId="1" type="noConversion"/>
  </si>
  <si>
    <t>HE'S A GREAT SCIENTIST</t>
    <phoneticPr fontId="1" type="noConversion"/>
  </si>
  <si>
    <t>TOM NODDED UNHAPPILY</t>
    <phoneticPr fontId="1" type="noConversion"/>
  </si>
  <si>
    <t>MALE OR FEMALE HUMAN OR ANIMAL</t>
    <phoneticPr fontId="1" type="noConversion"/>
  </si>
  <si>
    <t>MISTER SWIFT'S EYES TWINKLED</t>
    <phoneticPr fontId="1" type="noConversion"/>
  </si>
  <si>
    <t>ill be glad to try sir he replied</t>
    <phoneticPr fontId="1" type="noConversion"/>
  </si>
  <si>
    <t>an instant later it crashed over pinning mark favor beneath it</t>
  </si>
  <si>
    <t>bu threw up his arms to protect himself but too late</t>
    <phoneticPr fontId="1" type="noConversion"/>
  </si>
  <si>
    <t>for minutes no one stirred among the wreckage</t>
    <phoneticPr fontId="1" type="noConversion"/>
  </si>
  <si>
    <t>his friendz eyelids flickered</t>
    <phoneticPr fontId="1" type="noConversion"/>
  </si>
  <si>
    <t>lets see about getting help for mister faber</t>
    <phoneticPr fontId="1" type="noConversion"/>
  </si>
  <si>
    <t>anyhow we want to help got a job for us</t>
    <phoneticPr fontId="1" type="noConversion"/>
  </si>
  <si>
    <t>hes a great scientist</t>
    <phoneticPr fontId="1" type="noConversion"/>
  </si>
  <si>
    <t>tom nodded unhappily</t>
    <phoneticPr fontId="1" type="noConversion"/>
  </si>
  <si>
    <t>male or female human or animal</t>
    <phoneticPr fontId="1" type="noConversion"/>
  </si>
  <si>
    <t xml:space="preserve"> mister swiffts eyes twinkled</t>
    <phoneticPr fontId="1" type="noConversion"/>
  </si>
  <si>
    <t>MLEK: 26.03
NOTE: The model supports about max 7s .wav file.</t>
    <phoneticPr fontId="1" type="noConversion"/>
  </si>
  <si>
    <t>tiger.bmp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</si>
</sst>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1"/>
      <color theme="10"/>
      <name val="新細明體"/>
      <family val="2"/>
      <scheme val="minor"/>
    </font>
    <font>
      <sz val="11"/>
      <color theme="1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rgb="FFFFFFCC"/>
      </patternFill>
    </fill>
  </fills>
  <borders count="3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</cellStyleXfs>
  <cellXfs count="1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  <xf numFmtId="3" fontId="0" fillId="0" borderId="0" xfId="0" applyNumberFormat="1"/>
    <xf numFmtId="0" fontId="2" fillId="0" borderId="0" xfId="1"/>
    <xf numFmtId="10" fontId="0" fillId="0" borderId="0" xfId="0" applyNumberFormat="1"/>
    <xf numFmtId="0" fontId="3" fillId="2" borderId="1" xfId="2" applyBorder="1" applyAlignment="1"/>
    <xf numFmtId="0" fontId="3" fillId="2" borderId="1" xfId="2" applyBorder="1" applyAlignment="1">
      <alignment wrapText="1"/>
    </xf>
    <xf numFmtId="0" fontId="3" fillId="3" borderId="0" xfId="3" applyAlignment="1"/>
    <xf numFmtId="0" fontId="3" fillId="2" borderId="0" xfId="2" applyAlignment="1"/>
    <xf numFmtId="0" fontId="3" fillId="2" borderId="0" xfId="2" applyAlignment="1">
      <alignment wrapText="1"/>
    </xf>
    <xf numFmtId="0" fontId="0" fillId="4" borderId="2" xfId="4" applyFont="1" applyAlignment="1">
      <alignment wrapText="1"/>
    </xf>
    <xf numFmtId="0" fontId="0" fillId="4" borderId="2" xfId="4" applyFont="1" applyAlignment="1"/>
  </cellXfs>
  <cellStyles count="5">
    <cellStyle name="20% - Accent1" xfId="2" builtinId="30"/>
    <cellStyle name="20% - Accent2" xfId="3" builtinId="34"/>
    <cellStyle name="Hyperlink" xfId="1" builtinId="8"/>
    <cellStyle name="Normal" xfId="0" builtinId="0"/>
    <cellStyle name="Note" xfId="4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huggingface.co/timm/deit_tiny_patch16_224.fb_in1k" TargetMode="External"/><Relationship Id="rId1" Type="http://schemas.openxmlformats.org/officeDocument/2006/relationships/hyperlink" Target="https://huggingface.co/Arm/stt_en_conformer_executorch_small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huggingface.co/timm/deit_tiny_patch16_224.fb_in1k" TargetMode="External"/><Relationship Id="rId1" Type="http://schemas.openxmlformats.org/officeDocument/2006/relationships/hyperlink" Target="https://huggingface.co/Arm/stt_en_conformer_executorch_smal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M29"/>
  <sheetViews>
    <sheetView zoomScale="140" zoomScaleNormal="140" workbookViewId="0">
      <selection activeCell="D3" sqref="D3"/>
    </sheetView>
  </sheetViews>
  <sheetFormatPr defaultRowHeight="14.5" x14ac:dyDescent="0.3"/>
  <cols>
    <col min="2" max="2" width="20.09765625" customWidth="1"/>
    <col min="3" max="3" width="18.5" customWidth="1"/>
    <col min="4" max="4" width="14.59765625" customWidth="1"/>
    <col min="5" max="5" width="13.69921875" customWidth="1"/>
    <col min="6" max="6" width="8.5" customWidth="1"/>
    <col min="7" max="7" width="33.19921875" customWidth="1"/>
    <col min="8" max="9" width="12.19921875" customWidth="1"/>
    <col min="10" max="10" width="18" customWidth="1"/>
    <col min="11" max="11" width="14.3984375" customWidth="1"/>
    <col min="12" max="12" width="17.19921875" customWidth="1"/>
    <col min="13" max="13" width="19.796875" customWidth="1"/>
  </cols>
  <sheetData>
    <row r="3" spans="2:13" ht="31" customHeight="1" x14ac:dyDescent="0.3">
      <c r="B3" s="11" t="s">
        <v>128</v>
      </c>
      <c r="C3" s="12"/>
    </row>
    <row r="5" spans="2:13" ht="58.5" thickBot="1" x14ac:dyDescent="0.35">
      <c r="B5" s="6" t="s">
        <v>0</v>
      </c>
      <c r="C5" s="6" t="s">
        <v>5</v>
      </c>
      <c r="D5" s="6" t="s">
        <v>106</v>
      </c>
      <c r="E5" s="6" t="s">
        <v>56</v>
      </c>
      <c r="F5" s="6" t="s">
        <v>1</v>
      </c>
      <c r="G5" s="6" t="s">
        <v>86</v>
      </c>
      <c r="H5" s="6" t="s">
        <v>2</v>
      </c>
      <c r="I5" s="6" t="s">
        <v>20</v>
      </c>
      <c r="J5" s="6" t="s">
        <v>19</v>
      </c>
      <c r="K5" s="7" t="s">
        <v>18</v>
      </c>
      <c r="L5" s="7" t="s">
        <v>25</v>
      </c>
      <c r="M5" s="6" t="s">
        <v>71</v>
      </c>
    </row>
    <row r="6" spans="2:13" ht="29.5" thickTop="1" x14ac:dyDescent="0.3">
      <c r="B6" t="s">
        <v>3</v>
      </c>
      <c r="C6">
        <v>32</v>
      </c>
      <c r="D6">
        <v>32</v>
      </c>
      <c r="E6" t="s">
        <v>6</v>
      </c>
      <c r="F6">
        <v>256</v>
      </c>
      <c r="G6" s="1" t="s">
        <v>87</v>
      </c>
      <c r="H6" t="s">
        <v>16</v>
      </c>
      <c r="I6" t="s">
        <v>21</v>
      </c>
    </row>
    <row r="7" spans="2:13" ht="58" x14ac:dyDescent="0.3">
      <c r="G7" s="1"/>
      <c r="J7" t="s">
        <v>8</v>
      </c>
      <c r="K7" s="1" t="s">
        <v>27</v>
      </c>
      <c r="L7" s="1" t="s">
        <v>29</v>
      </c>
      <c r="M7" s="5" cm="1">
        <f t="array" ref="M7">INDEX(_xlfn.TEXTSPLIT(K7, "/"), 1)/INDEX(_xlfn.TEXTSPLIT(K7, "/"), 1)</f>
        <v>1</v>
      </c>
    </row>
    <row r="8" spans="2:13" ht="58" x14ac:dyDescent="0.3">
      <c r="J8" t="s">
        <v>9</v>
      </c>
      <c r="K8" s="1" t="s">
        <v>31</v>
      </c>
      <c r="L8" s="1" t="s">
        <v>32</v>
      </c>
      <c r="M8" s="5" cm="1">
        <f t="array" ref="M8">INDEX(_xlfn.TEXTSPLIT(K8, "/"), 1)/INDEX(_xlfn.TEXTSPLIT(K8, "/"), 1)</f>
        <v>1</v>
      </c>
    </row>
    <row r="9" spans="2:13" ht="58" x14ac:dyDescent="0.3">
      <c r="J9" t="s">
        <v>10</v>
      </c>
      <c r="K9" s="1" t="s">
        <v>35</v>
      </c>
      <c r="L9" s="1" t="s">
        <v>36</v>
      </c>
      <c r="M9" s="5" cm="1">
        <f t="array" ref="M9">INDEX(_xlfn.TEXTSPLIT(K9, "/"), 1)/INDEX(_xlfn.TEXTSPLIT(K9, "/"), 1)</f>
        <v>1</v>
      </c>
    </row>
    <row r="10" spans="2:13" ht="58" x14ac:dyDescent="0.3">
      <c r="J10" t="s">
        <v>11</v>
      </c>
      <c r="K10" s="1" t="s">
        <v>22</v>
      </c>
      <c r="L10" s="1" t="s">
        <v>26</v>
      </c>
      <c r="M10" s="5" cm="1">
        <f t="array" ref="M10">INDEX(_xlfn.TEXTSPLIT(K10, "/"), 1)/INDEX(_xlfn.TEXTSPLIT(K10, "/"), 1)</f>
        <v>1</v>
      </c>
    </row>
    <row r="11" spans="2:13" ht="58" x14ac:dyDescent="0.3">
      <c r="J11" t="s">
        <v>13</v>
      </c>
      <c r="K11" s="1" t="s">
        <v>39</v>
      </c>
      <c r="L11" s="1" t="s">
        <v>26</v>
      </c>
      <c r="M11" s="5" cm="1">
        <f t="array" ref="M11">INDEX(_xlfn.TEXTSPLIT(K11, "/"), 1)/INDEX(_xlfn.TEXTSPLIT(K11, "/"), 1)</f>
        <v>1</v>
      </c>
    </row>
    <row r="12" spans="2:13" x14ac:dyDescent="0.3">
      <c r="J12" t="s">
        <v>12</v>
      </c>
      <c r="K12" s="1" t="s">
        <v>41</v>
      </c>
      <c r="L12" s="1" t="s">
        <v>41</v>
      </c>
    </row>
    <row r="13" spans="2:13" ht="58" x14ac:dyDescent="0.3">
      <c r="J13" t="s">
        <v>14</v>
      </c>
      <c r="K13" s="1" t="s">
        <v>42</v>
      </c>
      <c r="L13" s="1" t="s">
        <v>43</v>
      </c>
      <c r="M13" s="5" cm="1">
        <f t="array" ref="M13">INDEX(_xlfn.TEXTSPLIT(K13, "/"), 1)/INDEX(_xlfn.TEXTSPLIT(K13, "/"), 1)</f>
        <v>1</v>
      </c>
    </row>
    <row r="14" spans="2:13" ht="58" x14ac:dyDescent="0.3">
      <c r="J14" t="s">
        <v>46</v>
      </c>
      <c r="K14" s="1" t="s">
        <v>47</v>
      </c>
      <c r="L14" s="1" t="s">
        <v>48</v>
      </c>
      <c r="M14" s="5" cm="1">
        <f t="array" ref="M14">INDEX(_xlfn.TEXTSPLIT(K14, "/"), 1)/INDEX(_xlfn.TEXTSPLIT(K14, "/"), 1)</f>
        <v>1</v>
      </c>
    </row>
    <row r="15" spans="2:13" ht="29" x14ac:dyDescent="0.3">
      <c r="B15" t="s">
        <v>4</v>
      </c>
      <c r="C15">
        <v>32</v>
      </c>
      <c r="D15">
        <v>32</v>
      </c>
      <c r="E15" t="s">
        <v>7</v>
      </c>
      <c r="F15">
        <v>256</v>
      </c>
      <c r="G15" s="1" t="s">
        <v>88</v>
      </c>
      <c r="H15" t="s">
        <v>16</v>
      </c>
      <c r="I15" t="s">
        <v>21</v>
      </c>
    </row>
    <row r="16" spans="2:13" ht="58" x14ac:dyDescent="0.3">
      <c r="J16" t="s">
        <v>8</v>
      </c>
      <c r="K16" s="1" t="s">
        <v>28</v>
      </c>
      <c r="L16" s="1" t="s">
        <v>30</v>
      </c>
      <c r="M16" s="5" cm="1">
        <f t="array" ref="M16">INDEX(_xlfn.TEXTSPLIT(K7, "/"), 1)/INDEX(_xlfn.TEXTSPLIT(K16, "/"), 1)</f>
        <v>1.3208492897832751</v>
      </c>
    </row>
    <row r="17" spans="2:13" ht="58" x14ac:dyDescent="0.3">
      <c r="J17" t="s">
        <v>9</v>
      </c>
      <c r="K17" s="1" t="s">
        <v>33</v>
      </c>
      <c r="L17" s="1" t="s">
        <v>34</v>
      </c>
      <c r="M17" s="5" cm="1">
        <f t="array" ref="M17">INDEX(_xlfn.TEXTSPLIT(K8, "/"), 1)/INDEX(_xlfn.TEXTSPLIT(K17, "/"), 1)</f>
        <v>0.96685489593734819</v>
      </c>
    </row>
    <row r="18" spans="2:13" ht="58" x14ac:dyDescent="0.3">
      <c r="J18" t="s">
        <v>10</v>
      </c>
      <c r="K18" s="1" t="s">
        <v>37</v>
      </c>
      <c r="L18" s="1" t="s">
        <v>38</v>
      </c>
      <c r="M18" s="5" cm="1">
        <f t="array" ref="M18">INDEX(_xlfn.TEXTSPLIT(K9, "/"), 1)/INDEX(_xlfn.TEXTSPLIT(K18, "/"), 1)</f>
        <v>1.1725714214138288</v>
      </c>
    </row>
    <row r="19" spans="2:13" ht="58" x14ac:dyDescent="0.3">
      <c r="J19" t="s">
        <v>11</v>
      </c>
      <c r="K19" s="1" t="s">
        <v>23</v>
      </c>
      <c r="L19" s="1" t="s">
        <v>24</v>
      </c>
      <c r="M19" s="5" cm="1">
        <f t="array" ref="M19">INDEX(_xlfn.TEXTSPLIT(K10, "/"), 1)/INDEX(_xlfn.TEXTSPLIT(K19, "/"), 1)</f>
        <v>1.0612567129955548</v>
      </c>
    </row>
    <row r="20" spans="2:13" ht="58" x14ac:dyDescent="0.3">
      <c r="J20" t="s">
        <v>13</v>
      </c>
      <c r="K20" s="1" t="s">
        <v>40</v>
      </c>
      <c r="L20" s="1" t="s">
        <v>24</v>
      </c>
      <c r="M20" s="5" cm="1">
        <f t="array" ref="M20">INDEX(_xlfn.TEXTSPLIT(K11, "/"), 1)/INDEX(_xlfn.TEXTSPLIT(K20, "/"), 1)</f>
        <v>1.0609526203342969</v>
      </c>
    </row>
    <row r="21" spans="2:13" x14ac:dyDescent="0.3">
      <c r="J21" t="s">
        <v>12</v>
      </c>
      <c r="K21" s="1" t="s">
        <v>41</v>
      </c>
      <c r="L21" s="1" t="s">
        <v>41</v>
      </c>
    </row>
    <row r="22" spans="2:13" ht="58" x14ac:dyDescent="0.3">
      <c r="J22" t="s">
        <v>14</v>
      </c>
      <c r="K22" s="1" t="s">
        <v>44</v>
      </c>
      <c r="L22" s="1" t="s">
        <v>45</v>
      </c>
      <c r="M22" s="5" cm="1">
        <f t="array" ref="M22">INDEX(_xlfn.TEXTSPLIT(K13, "/"), 1)/INDEX(_xlfn.TEXTSPLIT(K22, "/"), 1)</f>
        <v>1.3607786975078626</v>
      </c>
    </row>
    <row r="23" spans="2:13" ht="58" x14ac:dyDescent="0.3">
      <c r="J23" t="s">
        <v>15</v>
      </c>
      <c r="K23" s="1" t="s">
        <v>49</v>
      </c>
      <c r="L23" s="1" t="s">
        <v>50</v>
      </c>
      <c r="M23" s="5" cm="1">
        <f t="array" ref="M23">INDEX(_xlfn.TEXTSPLIT(K14, "/"), 1)/INDEX(_xlfn.TEXTSPLIT(K23, "/"), 1)</f>
        <v>1.3866052642579458</v>
      </c>
    </row>
    <row r="26" spans="2:13" x14ac:dyDescent="0.3">
      <c r="B26" t="s">
        <v>4</v>
      </c>
      <c r="C26">
        <v>32</v>
      </c>
      <c r="D26">
        <v>32</v>
      </c>
      <c r="E26" t="s">
        <v>7</v>
      </c>
      <c r="F26">
        <v>256</v>
      </c>
      <c r="H26" t="s">
        <v>17</v>
      </c>
      <c r="I26" t="s">
        <v>21</v>
      </c>
    </row>
    <row r="27" spans="2:13" ht="58" x14ac:dyDescent="0.3">
      <c r="J27" s="1" t="s">
        <v>62</v>
      </c>
      <c r="K27" s="1" t="s">
        <v>53</v>
      </c>
      <c r="L27" s="1" t="s">
        <v>54</v>
      </c>
    </row>
    <row r="28" spans="2:13" ht="58" x14ac:dyDescent="0.3">
      <c r="J28" s="1" t="s">
        <v>60</v>
      </c>
      <c r="K28" s="1" t="s">
        <v>58</v>
      </c>
      <c r="L28" s="1" t="s">
        <v>59</v>
      </c>
    </row>
    <row r="29" spans="2:13" ht="58" x14ac:dyDescent="0.3">
      <c r="J29" s="1" t="s">
        <v>61</v>
      </c>
      <c r="K29" s="1" t="s">
        <v>51</v>
      </c>
      <c r="L29" s="1" t="s">
        <v>52</v>
      </c>
    </row>
  </sheetData>
  <mergeCells count="1">
    <mergeCell ref="B3:C3"/>
  </mergeCells>
  <phoneticPr fontId="1" type="noConversion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AEC35E-392D-4ED8-91A3-AC158342B203}">
  <dimension ref="B3:E10"/>
  <sheetViews>
    <sheetView zoomScale="160" zoomScaleNormal="160" workbookViewId="0">
      <selection activeCell="B3" sqref="B3:C3"/>
    </sheetView>
  </sheetViews>
  <sheetFormatPr defaultRowHeight="14.5" x14ac:dyDescent="0.3"/>
  <cols>
    <col min="2" max="2" width="25.3984375" customWidth="1"/>
    <col min="3" max="3" width="33.59765625" customWidth="1"/>
    <col min="4" max="4" width="26.59765625" customWidth="1"/>
    <col min="5" max="5" width="28.19921875" customWidth="1"/>
    <col min="6" max="7" width="23.59765625" customWidth="1"/>
  </cols>
  <sheetData>
    <row r="3" spans="2:5" ht="33" customHeight="1" x14ac:dyDescent="0.3">
      <c r="B3" s="11" t="s">
        <v>127</v>
      </c>
      <c r="C3" s="12"/>
    </row>
    <row r="6" spans="2:5" x14ac:dyDescent="0.3">
      <c r="B6" s="9" t="s">
        <v>94</v>
      </c>
      <c r="C6" s="9" t="s">
        <v>95</v>
      </c>
      <c r="D6" s="9" t="s">
        <v>96</v>
      </c>
      <c r="E6" s="9" t="s">
        <v>97</v>
      </c>
    </row>
    <row r="7" spans="2:5" ht="43.5" x14ac:dyDescent="0.3">
      <c r="B7" t="s">
        <v>98</v>
      </c>
      <c r="C7" s="1" t="s">
        <v>103</v>
      </c>
      <c r="D7" s="1" t="s">
        <v>123</v>
      </c>
      <c r="E7" s="1" t="s">
        <v>119</v>
      </c>
    </row>
    <row r="8" spans="2:5" ht="43.5" x14ac:dyDescent="0.3">
      <c r="B8" t="s">
        <v>99</v>
      </c>
      <c r="C8" s="1" t="s">
        <v>102</v>
      </c>
      <c r="D8" s="1" t="s">
        <v>124</v>
      </c>
      <c r="E8" s="1" t="s">
        <v>120</v>
      </c>
    </row>
    <row r="9" spans="2:5" ht="29" x14ac:dyDescent="0.3">
      <c r="B9" t="s">
        <v>100</v>
      </c>
      <c r="C9" s="1" t="s">
        <v>104</v>
      </c>
      <c r="D9" s="1" t="s">
        <v>125</v>
      </c>
      <c r="E9" s="1" t="s">
        <v>121</v>
      </c>
    </row>
    <row r="10" spans="2:5" ht="29" x14ac:dyDescent="0.3">
      <c r="B10" s="1" t="s">
        <v>105</v>
      </c>
      <c r="C10" s="1" t="s">
        <v>101</v>
      </c>
      <c r="D10" s="1" t="s">
        <v>126</v>
      </c>
      <c r="E10" s="1" t="s">
        <v>122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D9A48-715A-4073-8E95-9B47ED68FEC0}">
  <dimension ref="C2:P19"/>
  <sheetViews>
    <sheetView tabSelected="1" topLeftCell="B3" zoomScale="130" zoomScaleNormal="130" workbookViewId="0">
      <selection activeCell="F7" sqref="F7"/>
    </sheetView>
  </sheetViews>
  <sheetFormatPr defaultRowHeight="14.5" x14ac:dyDescent="0.3"/>
  <cols>
    <col min="3" max="3" width="23.19921875" customWidth="1"/>
    <col min="4" max="4" width="14.59765625" customWidth="1"/>
    <col min="5" max="5" width="8.59765625" customWidth="1"/>
    <col min="6" max="6" width="10.296875" customWidth="1"/>
    <col min="7" max="7" width="35.09765625" customWidth="1"/>
    <col min="8" max="8" width="34.3984375" customWidth="1"/>
    <col min="9" max="9" width="13.3984375" customWidth="1"/>
    <col min="10" max="10" width="13.8984375" customWidth="1"/>
    <col min="11" max="11" width="12.296875" customWidth="1"/>
    <col min="12" max="12" width="18.3984375" customWidth="1"/>
    <col min="13" max="13" width="8.3984375" customWidth="1"/>
    <col min="14" max="14" width="14.796875" customWidth="1"/>
    <col min="15" max="15" width="9.59765625" customWidth="1"/>
    <col min="16" max="16" width="16.296875" customWidth="1"/>
  </cols>
  <sheetData>
    <row r="2" spans="3:16" ht="21" customHeight="1" x14ac:dyDescent="0.3"/>
    <row r="3" spans="3:16" ht="31" customHeight="1" x14ac:dyDescent="0.3">
      <c r="C3" s="11" t="s">
        <v>127</v>
      </c>
      <c r="D3" s="12"/>
    </row>
    <row r="5" spans="3:16" ht="29" x14ac:dyDescent="0.3">
      <c r="C5" s="10" t="s">
        <v>117</v>
      </c>
      <c r="D5" s="9" t="s">
        <v>108</v>
      </c>
      <c r="E5" s="9" t="s">
        <v>109</v>
      </c>
      <c r="F5" s="9" t="s">
        <v>113</v>
      </c>
      <c r="G5" s="9" t="s">
        <v>95</v>
      </c>
      <c r="H5" s="9" t="s">
        <v>97</v>
      </c>
      <c r="I5" s="9" t="s">
        <v>56</v>
      </c>
      <c r="J5" s="9" t="s">
        <v>115</v>
      </c>
      <c r="K5" s="9" t="s">
        <v>118</v>
      </c>
      <c r="L5" s="9" t="s">
        <v>111</v>
      </c>
      <c r="M5" s="9" t="s">
        <v>112</v>
      </c>
      <c r="N5" s="9" t="s">
        <v>114</v>
      </c>
      <c r="O5" s="9" t="s">
        <v>110</v>
      </c>
      <c r="P5" s="9" t="s">
        <v>116</v>
      </c>
    </row>
    <row r="6" spans="3:16" ht="29" x14ac:dyDescent="0.3">
      <c r="C6" t="s">
        <v>98</v>
      </c>
      <c r="D6">
        <v>16000</v>
      </c>
      <c r="E6">
        <v>62480</v>
      </c>
      <c r="F6">
        <f>E6/D6</f>
        <v>3.9049999999999998</v>
      </c>
      <c r="G6" s="1" t="s">
        <v>103</v>
      </c>
      <c r="H6" s="1" t="s">
        <v>119</v>
      </c>
      <c r="I6" s="1" t="s">
        <v>7</v>
      </c>
      <c r="J6" s="1">
        <v>256</v>
      </c>
      <c r="K6">
        <v>32000000</v>
      </c>
      <c r="L6">
        <v>56982056</v>
      </c>
      <c r="M6">
        <f>K6/L6</f>
        <v>0.56158029819071464</v>
      </c>
      <c r="N6">
        <v>34</v>
      </c>
      <c r="O6">
        <f>N6*M6</f>
        <v>19.093730138484297</v>
      </c>
      <c r="P6">
        <f>1/(M6*F6)</f>
        <v>0.45600236875800254</v>
      </c>
    </row>
    <row r="7" spans="3:16" ht="29" x14ac:dyDescent="0.3">
      <c r="C7" t="s">
        <v>99</v>
      </c>
      <c r="D7">
        <v>16000</v>
      </c>
      <c r="E7">
        <v>70400</v>
      </c>
      <c r="F7">
        <f>E7/D7</f>
        <v>4.4000000000000004</v>
      </c>
      <c r="G7" s="1" t="s">
        <v>102</v>
      </c>
      <c r="H7" s="1" t="s">
        <v>120</v>
      </c>
      <c r="I7" s="1" t="s">
        <v>7</v>
      </c>
      <c r="J7" s="1">
        <v>256</v>
      </c>
      <c r="K7">
        <v>32000000</v>
      </c>
      <c r="L7">
        <v>56980056</v>
      </c>
      <c r="M7">
        <f t="shared" ref="M7:M9" si="0">K7/L7</f>
        <v>0.56160000965952017</v>
      </c>
      <c r="N7">
        <v>42</v>
      </c>
      <c r="O7">
        <f>N7*M7</f>
        <v>23.587200405699846</v>
      </c>
      <c r="P7">
        <f>1/(M7*F7)</f>
        <v>0.40468789772727271</v>
      </c>
    </row>
    <row r="8" spans="3:16" x14ac:dyDescent="0.3">
      <c r="C8" t="s">
        <v>100</v>
      </c>
      <c r="D8">
        <v>16000</v>
      </c>
      <c r="E8">
        <v>59600</v>
      </c>
      <c r="F8">
        <f>E8/D8</f>
        <v>3.7250000000000001</v>
      </c>
      <c r="G8" s="1" t="s">
        <v>104</v>
      </c>
      <c r="H8" s="1" t="s">
        <v>121</v>
      </c>
      <c r="I8" s="1" t="s">
        <v>7</v>
      </c>
      <c r="J8" s="1">
        <v>256</v>
      </c>
      <c r="K8">
        <v>32000000</v>
      </c>
      <c r="L8">
        <v>56979056</v>
      </c>
      <c r="M8">
        <f t="shared" si="0"/>
        <v>0.56160986591283646</v>
      </c>
      <c r="N8">
        <v>18</v>
      </c>
      <c r="O8">
        <f>N8*M8</f>
        <v>10.108977586431056</v>
      </c>
      <c r="P8">
        <f>1/(M8*F8)</f>
        <v>0.4780122147651007</v>
      </c>
    </row>
    <row r="9" spans="3:16" ht="29" x14ac:dyDescent="0.3">
      <c r="C9" s="1" t="s">
        <v>105</v>
      </c>
      <c r="D9">
        <v>16000</v>
      </c>
      <c r="E9" s="1">
        <v>50080</v>
      </c>
      <c r="F9">
        <f>E9/D9</f>
        <v>3.13</v>
      </c>
      <c r="G9" s="1" t="s">
        <v>101</v>
      </c>
      <c r="H9" s="1" t="s">
        <v>122</v>
      </c>
      <c r="I9" s="1" t="s">
        <v>7</v>
      </c>
      <c r="J9" s="1">
        <v>256</v>
      </c>
      <c r="K9">
        <v>32000000</v>
      </c>
      <c r="L9">
        <v>56980056</v>
      </c>
      <c r="M9">
        <f t="shared" si="0"/>
        <v>0.56160000965952017</v>
      </c>
      <c r="N9">
        <v>24</v>
      </c>
      <c r="O9">
        <f>N9*M9</f>
        <v>13.478400231828484</v>
      </c>
      <c r="P9">
        <f>1/(M9*F9)</f>
        <v>0.56889033546325884</v>
      </c>
    </row>
    <row r="11" spans="3:16" ht="29" x14ac:dyDescent="0.3">
      <c r="C11" t="s">
        <v>98</v>
      </c>
      <c r="D11">
        <v>16000</v>
      </c>
      <c r="E11">
        <v>62480</v>
      </c>
      <c r="F11">
        <f>E11/D11</f>
        <v>3.9049999999999998</v>
      </c>
      <c r="G11" s="1" t="s">
        <v>103</v>
      </c>
      <c r="H11" s="1" t="s">
        <v>119</v>
      </c>
      <c r="I11" s="1" t="s">
        <v>7</v>
      </c>
      <c r="J11" s="1">
        <v>512</v>
      </c>
      <c r="K11">
        <v>32000000</v>
      </c>
      <c r="L11">
        <v>45137056</v>
      </c>
      <c r="M11">
        <f t="shared" ref="M11:M14" si="1">K11/L11</f>
        <v>0.70895186429526991</v>
      </c>
      <c r="N11">
        <v>34</v>
      </c>
      <c r="O11">
        <f>N11*M11</f>
        <v>24.104363386039175</v>
      </c>
      <c r="P11">
        <f>1/(M11*F11)</f>
        <v>0.36121203585147255</v>
      </c>
    </row>
    <row r="12" spans="3:16" ht="29" x14ac:dyDescent="0.3">
      <c r="C12" t="s">
        <v>99</v>
      </c>
      <c r="D12">
        <v>16000</v>
      </c>
      <c r="E12">
        <v>70400</v>
      </c>
      <c r="F12">
        <f>E12/D12</f>
        <v>4.4000000000000004</v>
      </c>
      <c r="G12" s="1" t="s">
        <v>102</v>
      </c>
      <c r="H12" s="1" t="s">
        <v>120</v>
      </c>
      <c r="I12" s="1" t="s">
        <v>7</v>
      </c>
      <c r="J12" s="1">
        <v>512</v>
      </c>
      <c r="K12">
        <v>32000000</v>
      </c>
      <c r="L12">
        <v>45140056</v>
      </c>
      <c r="M12">
        <f t="shared" si="1"/>
        <v>0.708904747481926</v>
      </c>
      <c r="N12">
        <v>42</v>
      </c>
      <c r="O12">
        <f>N12*M12</f>
        <v>29.773999394240892</v>
      </c>
      <c r="P12">
        <f>1/(M12*F12)</f>
        <v>0.3205969886363636</v>
      </c>
    </row>
    <row r="13" spans="3:16" x14ac:dyDescent="0.3">
      <c r="C13" t="s">
        <v>100</v>
      </c>
      <c r="D13">
        <v>16000</v>
      </c>
      <c r="E13">
        <v>59600</v>
      </c>
      <c r="F13">
        <f>E13/D13</f>
        <v>3.7250000000000001</v>
      </c>
      <c r="G13" s="1" t="s">
        <v>104</v>
      </c>
      <c r="H13" s="1" t="s">
        <v>121</v>
      </c>
      <c r="I13" s="1" t="s">
        <v>7</v>
      </c>
      <c r="J13" s="1">
        <v>512</v>
      </c>
      <c r="K13">
        <v>32000000</v>
      </c>
      <c r="L13">
        <v>45140056</v>
      </c>
      <c r="M13">
        <f t="shared" si="1"/>
        <v>0.708904747481926</v>
      </c>
      <c r="N13">
        <v>18</v>
      </c>
      <c r="O13">
        <f>N13*M13</f>
        <v>12.760285454674667</v>
      </c>
      <c r="P13">
        <f>1/(M13*F13)</f>
        <v>0.37869174496644298</v>
      </c>
    </row>
    <row r="14" spans="3:16" ht="29" x14ac:dyDescent="0.3">
      <c r="C14" s="1" t="s">
        <v>105</v>
      </c>
      <c r="D14">
        <v>16000</v>
      </c>
      <c r="E14" s="1">
        <v>50080</v>
      </c>
      <c r="F14">
        <f>E14/D14</f>
        <v>3.13</v>
      </c>
      <c r="G14" s="1" t="s">
        <v>101</v>
      </c>
      <c r="H14" s="1" t="s">
        <v>122</v>
      </c>
      <c r="I14" s="1" t="s">
        <v>7</v>
      </c>
      <c r="J14" s="1">
        <v>512</v>
      </c>
      <c r="K14">
        <v>32000000</v>
      </c>
      <c r="L14">
        <v>45140056</v>
      </c>
      <c r="M14">
        <f t="shared" si="1"/>
        <v>0.708904747481926</v>
      </c>
      <c r="N14">
        <v>24</v>
      </c>
      <c r="O14">
        <f>N14*M14</f>
        <v>17.013713939566223</v>
      </c>
      <c r="P14">
        <f>1/(M14*F14)</f>
        <v>0.4506794728434505</v>
      </c>
    </row>
    <row r="15" spans="3:16" x14ac:dyDescent="0.3">
      <c r="C15" s="1"/>
      <c r="E15" s="1"/>
      <c r="G15" s="1"/>
      <c r="H15" s="1"/>
      <c r="I15" s="1"/>
      <c r="J15" s="1"/>
    </row>
    <row r="16" spans="3:16" ht="29" x14ac:dyDescent="0.3">
      <c r="C16" t="s">
        <v>98</v>
      </c>
      <c r="D16">
        <v>16000</v>
      </c>
      <c r="E16">
        <v>62480</v>
      </c>
      <c r="F16">
        <f>E16/D16</f>
        <v>3.9049999999999998</v>
      </c>
      <c r="G16" s="1" t="s">
        <v>103</v>
      </c>
      <c r="H16" s="1" t="s">
        <v>119</v>
      </c>
      <c r="I16" s="1" t="s">
        <v>7</v>
      </c>
      <c r="J16" s="1">
        <v>1024</v>
      </c>
      <c r="K16">
        <v>32000000</v>
      </c>
      <c r="L16">
        <v>33334056</v>
      </c>
      <c r="M16">
        <f t="shared" ref="M16:M19" si="2">K16/L16</f>
        <v>0.95997918765121171</v>
      </c>
      <c r="N16">
        <v>34</v>
      </c>
      <c r="O16">
        <f>N16*M16</f>
        <v>32.6392923801412</v>
      </c>
      <c r="P16">
        <f>1/(M16*F16)</f>
        <v>0.26675781049935982</v>
      </c>
    </row>
    <row r="17" spans="3:16" ht="29" x14ac:dyDescent="0.3">
      <c r="C17" t="s">
        <v>99</v>
      </c>
      <c r="D17">
        <v>16000</v>
      </c>
      <c r="E17">
        <v>70400</v>
      </c>
      <c r="F17">
        <f>E17/D17</f>
        <v>4.4000000000000004</v>
      </c>
      <c r="G17" s="1" t="s">
        <v>102</v>
      </c>
      <c r="H17" s="1" t="s">
        <v>120</v>
      </c>
      <c r="I17" s="1" t="s">
        <v>7</v>
      </c>
      <c r="J17" s="1">
        <v>1024</v>
      </c>
      <c r="K17">
        <v>32000000</v>
      </c>
      <c r="L17">
        <v>33339056</v>
      </c>
      <c r="M17">
        <f t="shared" si="2"/>
        <v>0.95983521549020467</v>
      </c>
      <c r="N17">
        <v>42</v>
      </c>
      <c r="O17">
        <f>N17*M17</f>
        <v>40.313079050588598</v>
      </c>
      <c r="P17">
        <f>1/(M17*F17)</f>
        <v>0.23678306818181818</v>
      </c>
    </row>
    <row r="18" spans="3:16" x14ac:dyDescent="0.3">
      <c r="C18" t="s">
        <v>100</v>
      </c>
      <c r="D18">
        <v>16000</v>
      </c>
      <c r="E18">
        <v>59600</v>
      </c>
      <c r="F18">
        <f>E18/D18</f>
        <v>3.7250000000000001</v>
      </c>
      <c r="G18" s="1" t="s">
        <v>104</v>
      </c>
      <c r="H18" s="1" t="s">
        <v>121</v>
      </c>
      <c r="I18" s="1" t="s">
        <v>7</v>
      </c>
      <c r="J18" s="1">
        <v>1024</v>
      </c>
      <c r="K18">
        <v>32000000</v>
      </c>
      <c r="L18">
        <v>33340056</v>
      </c>
      <c r="M18">
        <f t="shared" si="2"/>
        <v>0.95980642623995593</v>
      </c>
      <c r="N18">
        <v>18</v>
      </c>
      <c r="O18">
        <f>N18*M18</f>
        <v>17.276515672319206</v>
      </c>
      <c r="P18">
        <f>1/(M18*F18)</f>
        <v>0.2796984563758389</v>
      </c>
    </row>
    <row r="19" spans="3:16" ht="29" x14ac:dyDescent="0.3">
      <c r="C19" s="1" t="s">
        <v>105</v>
      </c>
      <c r="D19">
        <v>16000</v>
      </c>
      <c r="E19" s="1">
        <v>50080</v>
      </c>
      <c r="F19">
        <f>E19/D19</f>
        <v>3.13</v>
      </c>
      <c r="G19" s="1" t="s">
        <v>101</v>
      </c>
      <c r="H19" s="1" t="s">
        <v>122</v>
      </c>
      <c r="I19" s="1" t="s">
        <v>7</v>
      </c>
      <c r="J19" s="1">
        <v>1024</v>
      </c>
      <c r="K19">
        <v>32000000</v>
      </c>
      <c r="L19">
        <v>33340056</v>
      </c>
      <c r="M19">
        <f t="shared" si="2"/>
        <v>0.95980642623995593</v>
      </c>
      <c r="N19">
        <v>24</v>
      </c>
      <c r="O19">
        <f>N19*M19</f>
        <v>23.035354229758944</v>
      </c>
      <c r="P19">
        <f>1/(M19*F19)</f>
        <v>0.33286797124600642</v>
      </c>
    </row>
  </sheetData>
  <mergeCells count="1">
    <mergeCell ref="C3:D3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1AC6E-CCFD-406F-B0F5-84BCEF4EEA34}">
  <dimension ref="B3:D17"/>
  <sheetViews>
    <sheetView topLeftCell="A3" zoomScale="115" zoomScaleNormal="115" workbookViewId="0">
      <selection activeCell="C7" sqref="C7"/>
    </sheetView>
  </sheetViews>
  <sheetFormatPr defaultRowHeight="14.5" x14ac:dyDescent="0.3"/>
  <cols>
    <col min="2" max="2" width="25.59765625" customWidth="1"/>
    <col min="3" max="3" width="47.296875" customWidth="1"/>
    <col min="4" max="4" width="50.59765625" customWidth="1"/>
    <col min="5" max="5" width="27" customWidth="1"/>
  </cols>
  <sheetData>
    <row r="3" spans="2:4" ht="43.5" customHeight="1" x14ac:dyDescent="0.3">
      <c r="B3" s="11" t="s">
        <v>174</v>
      </c>
      <c r="C3" s="12"/>
    </row>
    <row r="5" spans="2:4" ht="29" x14ac:dyDescent="0.3">
      <c r="B5" s="10" t="s">
        <v>117</v>
      </c>
      <c r="C5" s="9" t="s">
        <v>95</v>
      </c>
      <c r="D5" s="9" t="s">
        <v>97</v>
      </c>
    </row>
    <row r="6" spans="2:4" x14ac:dyDescent="0.3">
      <c r="B6" t="s">
        <v>139</v>
      </c>
      <c r="C6" s="1" t="s">
        <v>151</v>
      </c>
      <c r="D6" s="1" t="s">
        <v>163</v>
      </c>
    </row>
    <row r="7" spans="2:4" ht="29" x14ac:dyDescent="0.3">
      <c r="B7" t="s">
        <v>140</v>
      </c>
      <c r="C7" s="1" t="s">
        <v>152</v>
      </c>
      <c r="D7" s="1" t="s">
        <v>122</v>
      </c>
    </row>
    <row r="8" spans="2:4" ht="29" x14ac:dyDescent="0.3">
      <c r="B8" t="s">
        <v>141</v>
      </c>
      <c r="C8" s="1" t="s">
        <v>153</v>
      </c>
      <c r="D8" s="1" t="s">
        <v>164</v>
      </c>
    </row>
    <row r="9" spans="2:4" ht="29" x14ac:dyDescent="0.3">
      <c r="B9" t="s">
        <v>142</v>
      </c>
      <c r="C9" s="1" t="s">
        <v>154</v>
      </c>
      <c r="D9" s="1" t="s">
        <v>165</v>
      </c>
    </row>
    <row r="10" spans="2:4" ht="29" x14ac:dyDescent="0.3">
      <c r="B10" t="s">
        <v>143</v>
      </c>
      <c r="C10" s="1" t="s">
        <v>155</v>
      </c>
      <c r="D10" s="1" t="s">
        <v>166</v>
      </c>
    </row>
    <row r="11" spans="2:4" x14ac:dyDescent="0.3">
      <c r="B11" t="s">
        <v>144</v>
      </c>
      <c r="C11" s="1" t="s">
        <v>156</v>
      </c>
      <c r="D11" s="1" t="s">
        <v>167</v>
      </c>
    </row>
    <row r="12" spans="2:4" ht="29" x14ac:dyDescent="0.3">
      <c r="B12" t="s">
        <v>145</v>
      </c>
      <c r="C12" s="1" t="s">
        <v>157</v>
      </c>
      <c r="D12" s="1" t="s">
        <v>168</v>
      </c>
    </row>
    <row r="13" spans="2:4" ht="29" x14ac:dyDescent="0.3">
      <c r="B13" t="s">
        <v>146</v>
      </c>
      <c r="C13" s="1" t="s">
        <v>158</v>
      </c>
      <c r="D13" s="1" t="s">
        <v>169</v>
      </c>
    </row>
    <row r="14" spans="2:4" x14ac:dyDescent="0.3">
      <c r="B14" t="s">
        <v>147</v>
      </c>
      <c r="C14" s="1" t="s">
        <v>159</v>
      </c>
      <c r="D14" s="1" t="s">
        <v>170</v>
      </c>
    </row>
    <row r="15" spans="2:4" x14ac:dyDescent="0.3">
      <c r="B15" t="s">
        <v>148</v>
      </c>
      <c r="C15" s="1" t="s">
        <v>160</v>
      </c>
      <c r="D15" s="1" t="s">
        <v>171</v>
      </c>
    </row>
    <row r="16" spans="2:4" x14ac:dyDescent="0.3">
      <c r="B16" t="s">
        <v>149</v>
      </c>
      <c r="C16" s="1" t="s">
        <v>161</v>
      </c>
      <c r="D16" s="1" t="s">
        <v>172</v>
      </c>
    </row>
    <row r="17" spans="2:4" x14ac:dyDescent="0.3">
      <c r="B17" t="s">
        <v>150</v>
      </c>
      <c r="C17" s="1" t="s">
        <v>162</v>
      </c>
      <c r="D17" s="1" t="s">
        <v>173</v>
      </c>
    </row>
  </sheetData>
  <mergeCells count="1">
    <mergeCell ref="B3:C3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ECC7B-1510-47EF-A8FE-666035E85DE6}">
  <dimension ref="C4:H20"/>
  <sheetViews>
    <sheetView topLeftCell="A7" zoomScale="130" zoomScaleNormal="130" workbookViewId="0">
      <selection activeCell="C13" sqref="C13"/>
    </sheetView>
  </sheetViews>
  <sheetFormatPr defaultRowHeight="14.5" x14ac:dyDescent="0.3"/>
  <cols>
    <col min="3" max="3" width="22.59765625" customWidth="1"/>
    <col min="5" max="5" width="11.296875" customWidth="1"/>
    <col min="6" max="6" width="13.19921875" customWidth="1"/>
    <col min="7" max="7" width="14.19921875" customWidth="1"/>
    <col min="8" max="8" width="13.3984375" customWidth="1"/>
    <col min="9" max="9" width="18.5" customWidth="1"/>
    <col min="10" max="10" width="10.09765625" customWidth="1"/>
  </cols>
  <sheetData>
    <row r="4" spans="3:8" ht="33.5" customHeight="1" x14ac:dyDescent="0.3">
      <c r="C4" s="11" t="s">
        <v>129</v>
      </c>
      <c r="D4" s="12"/>
    </row>
    <row r="6" spans="3:8" ht="29" x14ac:dyDescent="0.3">
      <c r="C6" s="10" t="s">
        <v>130</v>
      </c>
      <c r="D6" s="9" t="s">
        <v>56</v>
      </c>
      <c r="E6" s="9" t="s">
        <v>115</v>
      </c>
      <c r="F6" s="9" t="s">
        <v>118</v>
      </c>
      <c r="G6" s="9" t="s">
        <v>111</v>
      </c>
      <c r="H6" s="9" t="s">
        <v>112</v>
      </c>
    </row>
    <row r="7" spans="3:8" x14ac:dyDescent="0.3">
      <c r="C7" t="s">
        <v>131</v>
      </c>
      <c r="D7" s="1" t="s">
        <v>7</v>
      </c>
      <c r="E7" s="1">
        <v>256</v>
      </c>
      <c r="F7">
        <v>32000000</v>
      </c>
      <c r="G7">
        <v>50396056</v>
      </c>
      <c r="H7">
        <f>F7/G7</f>
        <v>0.63497032386820107</v>
      </c>
    </row>
    <row r="8" spans="3:8" x14ac:dyDescent="0.3">
      <c r="C8" t="s">
        <v>132</v>
      </c>
      <c r="D8" s="1" t="s">
        <v>7</v>
      </c>
      <c r="E8" s="1">
        <v>256</v>
      </c>
      <c r="F8">
        <v>32000000</v>
      </c>
      <c r="G8">
        <v>50394056</v>
      </c>
      <c r="H8">
        <f t="shared" ref="H8:H10" si="0">F8/G8</f>
        <v>0.63499552407529969</v>
      </c>
    </row>
    <row r="9" spans="3:8" x14ac:dyDescent="0.3">
      <c r="C9" t="s">
        <v>133</v>
      </c>
      <c r="D9" s="1" t="s">
        <v>7</v>
      </c>
      <c r="E9" s="1">
        <v>256</v>
      </c>
      <c r="F9">
        <v>32000000</v>
      </c>
      <c r="G9">
        <v>50395056</v>
      </c>
      <c r="H9">
        <f t="shared" si="0"/>
        <v>0.63498292372172382</v>
      </c>
    </row>
    <row r="10" spans="3:8" x14ac:dyDescent="0.3">
      <c r="C10" s="1" t="s">
        <v>132</v>
      </c>
      <c r="D10" s="1" t="s">
        <v>7</v>
      </c>
      <c r="E10" s="1">
        <v>256</v>
      </c>
      <c r="F10">
        <v>32000000</v>
      </c>
      <c r="G10">
        <v>50395056</v>
      </c>
      <c r="H10">
        <f t="shared" si="0"/>
        <v>0.63498292372172382</v>
      </c>
    </row>
    <row r="11" spans="3:8" x14ac:dyDescent="0.3">
      <c r="C11" s="1"/>
      <c r="D11" s="1"/>
      <c r="E11" s="1"/>
    </row>
    <row r="12" spans="3:8" x14ac:dyDescent="0.3">
      <c r="C12" t="s">
        <v>131</v>
      </c>
      <c r="D12" s="1" t="s">
        <v>7</v>
      </c>
      <c r="E12" s="1">
        <v>512</v>
      </c>
      <c r="F12">
        <v>32000000</v>
      </c>
      <c r="G12">
        <v>46476056</v>
      </c>
      <c r="H12">
        <f>F12/G12</f>
        <v>0.68852658237609488</v>
      </c>
    </row>
    <row r="13" spans="3:8" x14ac:dyDescent="0.3">
      <c r="C13" t="s">
        <v>132</v>
      </c>
      <c r="D13" s="1" t="s">
        <v>7</v>
      </c>
      <c r="E13" s="1">
        <v>512</v>
      </c>
      <c r="F13">
        <v>32000000</v>
      </c>
      <c r="G13">
        <v>46480056</v>
      </c>
      <c r="H13">
        <f t="shared" ref="H13:H15" si="1">F13/G13</f>
        <v>0.68846732886896689</v>
      </c>
    </row>
    <row r="14" spans="3:8" x14ac:dyDescent="0.3">
      <c r="C14" t="s">
        <v>133</v>
      </c>
      <c r="D14" s="1" t="s">
        <v>7</v>
      </c>
      <c r="E14" s="1">
        <v>512</v>
      </c>
      <c r="F14">
        <v>32000000</v>
      </c>
      <c r="G14">
        <v>46480056</v>
      </c>
      <c r="H14">
        <f t="shared" si="1"/>
        <v>0.68846732886896689</v>
      </c>
    </row>
    <row r="15" spans="3:8" x14ac:dyDescent="0.3">
      <c r="C15" s="1" t="s">
        <v>132</v>
      </c>
      <c r="D15" s="1" t="s">
        <v>7</v>
      </c>
      <c r="E15" s="1">
        <v>512</v>
      </c>
      <c r="F15">
        <v>32000000</v>
      </c>
      <c r="G15">
        <v>46480056</v>
      </c>
      <c r="H15">
        <f t="shared" si="1"/>
        <v>0.68846732886896689</v>
      </c>
    </row>
    <row r="16" spans="3:8" x14ac:dyDescent="0.3">
      <c r="C16" s="1"/>
      <c r="D16" s="1"/>
      <c r="E16" s="1"/>
    </row>
    <row r="17" spans="3:8" x14ac:dyDescent="0.3">
      <c r="C17" t="s">
        <v>131</v>
      </c>
      <c r="D17" s="1" t="s">
        <v>7</v>
      </c>
      <c r="E17" s="1">
        <v>1024</v>
      </c>
      <c r="F17">
        <v>32000000</v>
      </c>
      <c r="G17">
        <v>38286056</v>
      </c>
      <c r="H17">
        <f>F17/G17</f>
        <v>0.83581343557560484</v>
      </c>
    </row>
    <row r="18" spans="3:8" x14ac:dyDescent="0.3">
      <c r="C18" t="s">
        <v>132</v>
      </c>
      <c r="D18" s="1" t="s">
        <v>7</v>
      </c>
      <c r="E18" s="1">
        <v>1024</v>
      </c>
      <c r="F18">
        <v>32000000</v>
      </c>
      <c r="G18">
        <v>38279056</v>
      </c>
      <c r="H18">
        <f t="shared" ref="H18:H20" si="2">F18/G18</f>
        <v>0.83596627879224605</v>
      </c>
    </row>
    <row r="19" spans="3:8" x14ac:dyDescent="0.3">
      <c r="C19" t="s">
        <v>133</v>
      </c>
      <c r="D19" s="1" t="s">
        <v>7</v>
      </c>
      <c r="E19" s="1">
        <v>1024</v>
      </c>
      <c r="F19">
        <v>32000000</v>
      </c>
      <c r="G19">
        <v>38280056</v>
      </c>
      <c r="H19">
        <f t="shared" si="2"/>
        <v>0.83594444062464279</v>
      </c>
    </row>
    <row r="20" spans="3:8" x14ac:dyDescent="0.3">
      <c r="C20" s="1" t="s">
        <v>132</v>
      </c>
      <c r="D20" s="1" t="s">
        <v>7</v>
      </c>
      <c r="E20" s="1">
        <v>1024</v>
      </c>
      <c r="F20">
        <v>32000000</v>
      </c>
      <c r="G20">
        <v>38280056</v>
      </c>
      <c r="H20">
        <f t="shared" si="2"/>
        <v>0.83594444062464279</v>
      </c>
    </row>
  </sheetData>
  <mergeCells count="1">
    <mergeCell ref="C4:D4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2A908-AF3F-4D39-B497-9E1BF89D093E}">
  <dimension ref="C5:D9"/>
  <sheetViews>
    <sheetView topLeftCell="A8" zoomScale="130" zoomScaleNormal="130" workbookViewId="0">
      <selection activeCell="C8" sqref="C8"/>
    </sheetView>
  </sheetViews>
  <sheetFormatPr defaultRowHeight="14.5" x14ac:dyDescent="0.3"/>
  <cols>
    <col min="3" max="3" width="23" customWidth="1"/>
    <col min="4" max="4" width="64.3984375" customWidth="1"/>
  </cols>
  <sheetData>
    <row r="5" spans="3:4" ht="29" x14ac:dyDescent="0.3">
      <c r="C5" s="10" t="s">
        <v>130</v>
      </c>
      <c r="D5" s="9" t="s">
        <v>137</v>
      </c>
    </row>
    <row r="6" spans="3:4" ht="72.5" x14ac:dyDescent="0.3">
      <c r="C6" t="s">
        <v>131</v>
      </c>
      <c r="D6" s="1" t="s">
        <v>134</v>
      </c>
    </row>
    <row r="7" spans="3:4" ht="72.5" x14ac:dyDescent="0.3">
      <c r="C7" t="s">
        <v>132</v>
      </c>
      <c r="D7" s="1" t="s">
        <v>135</v>
      </c>
    </row>
    <row r="8" spans="3:4" ht="72.5" x14ac:dyDescent="0.3">
      <c r="C8" t="s">
        <v>133</v>
      </c>
      <c r="D8" s="1" t="s">
        <v>136</v>
      </c>
    </row>
    <row r="9" spans="3:4" ht="72.5" x14ac:dyDescent="0.3">
      <c r="C9" s="1" t="s">
        <v>175</v>
      </c>
      <c r="D9" s="1" t="s">
        <v>138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97782-ED47-4A8A-ADC9-59039F42DBF4}">
  <dimension ref="C5:AT23"/>
  <sheetViews>
    <sheetView topLeftCell="A4" zoomScale="160" zoomScaleNormal="160" workbookViewId="0">
      <pane xSplit="3" ySplit="1" topLeftCell="D5" activePane="bottomRight" state="frozen"/>
      <selection activeCell="A4" sqref="A4"/>
      <selection pane="topRight" activeCell="D4" sqref="D4"/>
      <selection pane="bottomLeft" activeCell="A5" sqref="A5"/>
      <selection pane="bottomRight" activeCell="C7" sqref="C7"/>
    </sheetView>
  </sheetViews>
  <sheetFormatPr defaultRowHeight="14.5" x14ac:dyDescent="0.3"/>
  <cols>
    <col min="3" max="3" width="29.3984375" customWidth="1"/>
    <col min="4" max="4" width="25.69921875" customWidth="1"/>
    <col min="5" max="5" width="6.59765625" customWidth="1"/>
    <col min="6" max="6" width="11.69921875" customWidth="1"/>
    <col min="7" max="7" width="10.5" customWidth="1"/>
    <col min="8" max="8" width="10.59765625" customWidth="1"/>
    <col min="9" max="9" width="6" customWidth="1"/>
    <col min="10" max="12" width="11.09765625" customWidth="1"/>
    <col min="13" max="13" width="6.59765625" customWidth="1"/>
    <col min="14" max="16" width="10.3984375" customWidth="1"/>
    <col min="17" max="17" width="5.59765625" customWidth="1"/>
    <col min="18" max="18" width="10.796875" customWidth="1"/>
    <col min="19" max="20" width="11.8984375" customWidth="1"/>
    <col min="21" max="21" width="6" customWidth="1"/>
    <col min="22" max="25" width="11.8984375" customWidth="1"/>
    <col min="26" max="26" width="20.19921875" customWidth="1"/>
    <col min="27" max="27" width="6.3984375" customWidth="1"/>
    <col min="28" max="30" width="11.796875" customWidth="1"/>
    <col min="31" max="31" width="5.69921875" customWidth="1"/>
    <col min="32" max="34" width="11.8984375" customWidth="1"/>
    <col min="35" max="35" width="6.09765625" customWidth="1"/>
    <col min="36" max="38" width="11" customWidth="1"/>
    <col min="39" max="39" width="6.19921875" customWidth="1"/>
    <col min="40" max="42" width="10.19921875" customWidth="1"/>
    <col min="43" max="43" width="7.19921875" customWidth="1"/>
    <col min="44" max="46" width="10.19921875" customWidth="1"/>
  </cols>
  <sheetData>
    <row r="5" spans="3:46" x14ac:dyDescent="0.3">
      <c r="C5" s="8" t="s">
        <v>56</v>
      </c>
      <c r="D5" t="s">
        <v>7</v>
      </c>
      <c r="Z5" t="s">
        <v>7</v>
      </c>
    </row>
    <row r="6" spans="3:46" x14ac:dyDescent="0.3">
      <c r="C6" s="8" t="s">
        <v>107</v>
      </c>
      <c r="D6">
        <v>1000</v>
      </c>
    </row>
    <row r="7" spans="3:46" x14ac:dyDescent="0.3">
      <c r="C7" s="8" t="s">
        <v>1</v>
      </c>
      <c r="E7">
        <v>128</v>
      </c>
      <c r="I7">
        <v>256</v>
      </c>
      <c r="M7">
        <v>512</v>
      </c>
      <c r="Q7">
        <v>1024</v>
      </c>
      <c r="U7">
        <v>2048</v>
      </c>
      <c r="AA7">
        <v>128</v>
      </c>
      <c r="AE7">
        <v>256</v>
      </c>
      <c r="AI7">
        <v>512</v>
      </c>
      <c r="AM7">
        <v>1024</v>
      </c>
      <c r="AQ7">
        <v>2048</v>
      </c>
    </row>
    <row r="8" spans="3:46" x14ac:dyDescent="0.3">
      <c r="C8" s="8" t="s">
        <v>74</v>
      </c>
      <c r="D8" t="s">
        <v>72</v>
      </c>
      <c r="Z8" t="s">
        <v>73</v>
      </c>
    </row>
    <row r="9" spans="3:46" x14ac:dyDescent="0.3">
      <c r="C9" s="8" t="s">
        <v>75</v>
      </c>
      <c r="D9" t="s">
        <v>55</v>
      </c>
      <c r="Z9" t="s">
        <v>55</v>
      </c>
    </row>
    <row r="10" spans="3:46" x14ac:dyDescent="0.3">
      <c r="C10" s="8" t="s">
        <v>70</v>
      </c>
      <c r="D10" s="4" t="s">
        <v>63</v>
      </c>
      <c r="E10" s="4"/>
      <c r="Z10" s="4" t="s">
        <v>64</v>
      </c>
      <c r="AA10" s="4"/>
    </row>
    <row r="11" spans="3:46" x14ac:dyDescent="0.3">
      <c r="C11" s="8" t="s">
        <v>65</v>
      </c>
      <c r="D11" s="3">
        <v>2355833220</v>
      </c>
      <c r="Z11" s="3">
        <v>1282454292</v>
      </c>
    </row>
    <row r="12" spans="3:46" x14ac:dyDescent="0.3">
      <c r="C12" s="8" t="s">
        <v>66</v>
      </c>
      <c r="D12" s="4"/>
      <c r="E12" s="4"/>
      <c r="F12" s="5">
        <v>0</v>
      </c>
      <c r="G12" s="5">
        <v>0</v>
      </c>
      <c r="H12" s="5">
        <v>0</v>
      </c>
      <c r="I12" s="5"/>
      <c r="J12" s="5">
        <v>0</v>
      </c>
      <c r="K12" s="5">
        <v>0</v>
      </c>
      <c r="L12" s="5">
        <v>0</v>
      </c>
      <c r="M12" s="5"/>
      <c r="N12" s="5">
        <v>0</v>
      </c>
      <c r="O12" s="5">
        <v>0</v>
      </c>
      <c r="P12" s="5">
        <v>0</v>
      </c>
      <c r="Q12" s="5"/>
      <c r="R12" s="5">
        <v>0</v>
      </c>
      <c r="S12" s="5">
        <v>0</v>
      </c>
      <c r="T12" s="5">
        <v>0</v>
      </c>
      <c r="U12" s="5"/>
      <c r="V12" s="5">
        <v>0</v>
      </c>
      <c r="W12" s="5">
        <v>0</v>
      </c>
      <c r="X12" s="5">
        <v>0</v>
      </c>
      <c r="Y12" s="5"/>
      <c r="Z12" s="4"/>
      <c r="AA12" s="4"/>
      <c r="AB12" s="5">
        <v>0</v>
      </c>
      <c r="AC12" s="5">
        <v>0</v>
      </c>
      <c r="AD12" s="5">
        <v>0</v>
      </c>
      <c r="AE12" s="5"/>
      <c r="AF12" s="5">
        <v>0</v>
      </c>
      <c r="AG12" s="5">
        <v>0</v>
      </c>
      <c r="AH12" s="5">
        <v>0</v>
      </c>
      <c r="AI12" s="5"/>
      <c r="AJ12" s="5">
        <v>0</v>
      </c>
      <c r="AK12" s="5">
        <v>0</v>
      </c>
      <c r="AL12" s="5">
        <v>0</v>
      </c>
      <c r="AM12" s="5"/>
      <c r="AN12" s="5">
        <v>0</v>
      </c>
      <c r="AO12" s="5">
        <v>0</v>
      </c>
      <c r="AP12" s="5">
        <v>0</v>
      </c>
      <c r="AQ12" s="5"/>
      <c r="AR12" s="5">
        <v>0</v>
      </c>
      <c r="AS12" s="5">
        <v>0</v>
      </c>
      <c r="AT12" s="5">
        <v>0</v>
      </c>
    </row>
    <row r="13" spans="3:46" x14ac:dyDescent="0.3">
      <c r="C13" s="8" t="s">
        <v>68</v>
      </c>
      <c r="F13" s="3">
        <v>41000244</v>
      </c>
      <c r="G13" s="3">
        <v>41000244</v>
      </c>
      <c r="H13" s="3">
        <v>41000244</v>
      </c>
      <c r="I13" s="3"/>
      <c r="J13" s="3">
        <v>41000244</v>
      </c>
      <c r="K13" s="3">
        <v>41000244</v>
      </c>
      <c r="L13" s="3">
        <v>41000244</v>
      </c>
      <c r="M13" s="3"/>
      <c r="N13" s="3">
        <v>41000244</v>
      </c>
      <c r="O13" s="3">
        <v>41000244</v>
      </c>
      <c r="P13" s="3">
        <v>41000244</v>
      </c>
      <c r="Q13" s="3"/>
      <c r="R13" s="3">
        <v>41000244</v>
      </c>
      <c r="S13" s="3">
        <v>41000244</v>
      </c>
      <c r="T13" s="3">
        <v>41000244</v>
      </c>
      <c r="U13" s="3"/>
      <c r="V13" s="3">
        <v>41000244</v>
      </c>
      <c r="W13" s="3">
        <v>41000244</v>
      </c>
      <c r="X13" s="3">
        <v>41000244</v>
      </c>
      <c r="Y13" s="3"/>
      <c r="AB13" s="3">
        <v>23011360</v>
      </c>
      <c r="AC13" s="3">
        <v>23011360</v>
      </c>
      <c r="AD13" s="3">
        <v>23011360</v>
      </c>
      <c r="AE13" s="3"/>
      <c r="AF13" s="3">
        <v>23011360</v>
      </c>
      <c r="AG13" s="3">
        <v>23011360</v>
      </c>
      <c r="AH13" s="3">
        <v>23011360</v>
      </c>
      <c r="AI13" s="3"/>
      <c r="AJ13" s="3">
        <v>23011360</v>
      </c>
      <c r="AK13" s="3">
        <v>23011360</v>
      </c>
      <c r="AL13" s="3">
        <v>23011360</v>
      </c>
      <c r="AM13" s="3"/>
      <c r="AN13" s="3">
        <v>23011360</v>
      </c>
      <c r="AO13" s="3">
        <v>23011360</v>
      </c>
      <c r="AP13" s="3">
        <v>23011360</v>
      </c>
      <c r="AQ13" s="3"/>
      <c r="AR13" s="3">
        <v>23011360</v>
      </c>
      <c r="AS13" s="3">
        <v>23011360</v>
      </c>
      <c r="AT13" s="3">
        <v>23011360</v>
      </c>
    </row>
    <row r="14" spans="3:46" x14ac:dyDescent="0.3">
      <c r="C14" s="8" t="s">
        <v>69</v>
      </c>
      <c r="D14" s="3"/>
      <c r="E14" s="3"/>
      <c r="F14" s="3">
        <v>10413984</v>
      </c>
      <c r="G14" s="3">
        <v>10411120</v>
      </c>
      <c r="H14" s="3">
        <v>10404256</v>
      </c>
      <c r="I14" s="3"/>
      <c r="J14" s="3">
        <v>10400592</v>
      </c>
      <c r="K14" s="3">
        <v>10394816</v>
      </c>
      <c r="L14" s="3">
        <v>10405792</v>
      </c>
      <c r="M14" s="3"/>
      <c r="N14" s="3">
        <v>10429440</v>
      </c>
      <c r="O14" s="3">
        <v>10414032</v>
      </c>
      <c r="P14" s="3">
        <v>10426032</v>
      </c>
      <c r="Q14" s="3"/>
      <c r="R14" s="3">
        <v>10443808</v>
      </c>
      <c r="S14" s="3">
        <v>10453200</v>
      </c>
      <c r="T14" s="3">
        <v>10443488</v>
      </c>
      <c r="U14" s="3"/>
      <c r="V14" s="3">
        <v>11012208</v>
      </c>
      <c r="W14" s="3">
        <v>11101808</v>
      </c>
      <c r="X14" s="3">
        <v>11032320</v>
      </c>
      <c r="Y14" s="3"/>
      <c r="Z14" s="3"/>
      <c r="AA14" s="3"/>
      <c r="AB14" s="3">
        <v>5719408</v>
      </c>
      <c r="AC14" s="3">
        <v>5718768</v>
      </c>
      <c r="AD14" s="3">
        <v>5718784</v>
      </c>
      <c r="AE14" s="3"/>
      <c r="AF14" s="3">
        <v>5720848</v>
      </c>
      <c r="AG14" s="3">
        <v>5718704</v>
      </c>
      <c r="AH14" s="3">
        <v>5720208</v>
      </c>
      <c r="AI14" s="3"/>
      <c r="AJ14" s="3">
        <v>5730160</v>
      </c>
      <c r="AK14" s="3">
        <v>5726992</v>
      </c>
      <c r="AL14" s="3">
        <v>5729536</v>
      </c>
      <c r="AM14" s="3"/>
      <c r="AN14" s="3">
        <v>5734832</v>
      </c>
      <c r="AO14" s="3">
        <v>5863504</v>
      </c>
      <c r="AP14" s="3">
        <v>5729536</v>
      </c>
      <c r="AQ14" s="3"/>
      <c r="AR14" s="3">
        <v>5723920</v>
      </c>
      <c r="AS14" s="3">
        <v>5932800</v>
      </c>
      <c r="AT14" s="3">
        <v>5723344</v>
      </c>
    </row>
    <row r="15" spans="3:46" x14ac:dyDescent="0.3">
      <c r="C15" s="8" t="s">
        <v>67</v>
      </c>
      <c r="D15" s="4"/>
      <c r="E15" s="4"/>
      <c r="F15" s="5">
        <f>F14/F13</f>
        <v>0.25399809815765972</v>
      </c>
      <c r="G15" s="5">
        <f>G14/G13</f>
        <v>0.25392824491483512</v>
      </c>
      <c r="H15" s="5">
        <f>H14/H13</f>
        <v>0.25376083127700411</v>
      </c>
      <c r="I15" s="5"/>
      <c r="J15" s="5">
        <f>J14/J13</f>
        <v>0.2536714659551782</v>
      </c>
      <c r="K15" s="5">
        <f>K14/K13</f>
        <v>0.25353058874478895</v>
      </c>
      <c r="L15" s="5">
        <f>L14/L13</f>
        <v>0.25379829446868657</v>
      </c>
      <c r="M15" s="5"/>
      <c r="N15" s="5">
        <f>N14/N13</f>
        <v>0.2543750715239646</v>
      </c>
      <c r="O15" s="5">
        <f>O14/O13</f>
        <v>0.25399926888239982</v>
      </c>
      <c r="P15" s="5">
        <f>P14/P13</f>
        <v>0.25429195006741911</v>
      </c>
      <c r="Q15" s="5"/>
      <c r="R15" s="5">
        <f>R14/R13</f>
        <v>0.25472550846282771</v>
      </c>
      <c r="S15" s="5">
        <f>S14/S13</f>
        <v>0.25495458027030277</v>
      </c>
      <c r="T15" s="5">
        <f>T14/T13</f>
        <v>0.25471770363122714</v>
      </c>
      <c r="U15" s="5"/>
      <c r="V15" s="5">
        <f>V14/V13</f>
        <v>0.26858884059324134</v>
      </c>
      <c r="W15" s="5">
        <f>W14/W13</f>
        <v>0.27077419344138537</v>
      </c>
      <c r="X15" s="5">
        <f>X14/X13</f>
        <v>0.2690793742593337</v>
      </c>
      <c r="Y15" s="5"/>
      <c r="Z15" s="4"/>
      <c r="AA15" s="4"/>
      <c r="AB15" s="5">
        <f>AB14/AB13</f>
        <v>0.24854715236300678</v>
      </c>
      <c r="AC15" s="5">
        <f>AC14/AC13</f>
        <v>0.24851934001293274</v>
      </c>
      <c r="AD15" s="5">
        <f>AD14/AD13</f>
        <v>0.2485200353216846</v>
      </c>
      <c r="AE15" s="5"/>
      <c r="AF15" s="5">
        <f>AF14/AF13</f>
        <v>0.24860973015067342</v>
      </c>
      <c r="AG15" s="5">
        <f>AG14/AG13</f>
        <v>0.24851655877792533</v>
      </c>
      <c r="AH15" s="5">
        <f>AH14/AH13</f>
        <v>0.24858191780059935</v>
      </c>
      <c r="AI15" s="5"/>
      <c r="AJ15" s="5">
        <f>AJ14/AJ13</f>
        <v>0.24901439984425083</v>
      </c>
      <c r="AK15" s="5">
        <f>AK14/AK13</f>
        <v>0.24887672871138428</v>
      </c>
      <c r="AL15" s="5">
        <f>AL14/AL13</f>
        <v>0.24898728280292864</v>
      </c>
      <c r="AM15" s="5"/>
      <c r="AN15" s="5">
        <f>AN14/AN13</f>
        <v>0.24921742999979141</v>
      </c>
      <c r="AO15" s="5">
        <f>AO14/AO13</f>
        <v>0.25480910298217924</v>
      </c>
      <c r="AP15" s="5">
        <f>AP14/AP13</f>
        <v>0.24898728280292864</v>
      </c>
      <c r="AQ15" s="5"/>
      <c r="AR15" s="5">
        <f>AR14/AR13</f>
        <v>0.24874322943102886</v>
      </c>
      <c r="AS15" s="5">
        <f>AS14/AS13</f>
        <v>0.25782048518644707</v>
      </c>
      <c r="AT15" s="5">
        <f>AT14/AT13</f>
        <v>0.2487181983159622</v>
      </c>
    </row>
    <row r="16" spans="3:46" x14ac:dyDescent="0.3">
      <c r="C16" s="8" t="s">
        <v>92</v>
      </c>
      <c r="D16" s="3"/>
      <c r="E16" s="3"/>
      <c r="F16" s="3">
        <v>32</v>
      </c>
      <c r="G16" s="3">
        <v>4</v>
      </c>
      <c r="H16" s="3">
        <v>32</v>
      </c>
      <c r="I16" s="3"/>
      <c r="J16" s="3">
        <v>32</v>
      </c>
      <c r="K16" s="3">
        <v>4</v>
      </c>
      <c r="L16" s="3">
        <v>32</v>
      </c>
      <c r="M16" s="3"/>
      <c r="N16" s="3">
        <v>32</v>
      </c>
      <c r="O16" s="3">
        <v>4</v>
      </c>
      <c r="P16" s="3">
        <v>32</v>
      </c>
      <c r="Q16" s="3"/>
      <c r="R16" s="3">
        <v>32</v>
      </c>
      <c r="S16" s="3">
        <v>4</v>
      </c>
      <c r="T16" s="3">
        <v>32</v>
      </c>
      <c r="U16" s="3"/>
      <c r="V16" s="3">
        <v>32</v>
      </c>
      <c r="W16" s="3">
        <v>4</v>
      </c>
      <c r="X16" s="3">
        <v>32</v>
      </c>
      <c r="Y16" s="3"/>
      <c r="Z16" s="3"/>
      <c r="AA16" s="3"/>
      <c r="AB16" s="3">
        <v>32</v>
      </c>
      <c r="AC16" s="3">
        <v>4</v>
      </c>
      <c r="AD16" s="3">
        <v>32</v>
      </c>
      <c r="AE16" s="3"/>
      <c r="AF16" s="3">
        <v>32</v>
      </c>
      <c r="AG16" s="3">
        <v>4</v>
      </c>
      <c r="AH16" s="3">
        <v>32</v>
      </c>
      <c r="AI16" s="3"/>
      <c r="AJ16" s="3">
        <v>32</v>
      </c>
      <c r="AK16" s="3">
        <v>4</v>
      </c>
      <c r="AL16" s="3">
        <v>32</v>
      </c>
      <c r="AM16" s="3"/>
      <c r="AN16" s="3">
        <v>32</v>
      </c>
      <c r="AO16" s="3">
        <v>4</v>
      </c>
      <c r="AP16" s="3">
        <v>32</v>
      </c>
      <c r="AQ16" s="3"/>
      <c r="AR16" s="3">
        <v>32</v>
      </c>
      <c r="AS16" s="3">
        <v>4</v>
      </c>
      <c r="AT16" s="3">
        <v>32</v>
      </c>
    </row>
    <row r="17" spans="3:46" x14ac:dyDescent="0.3">
      <c r="C17" s="8" t="s">
        <v>93</v>
      </c>
      <c r="D17" s="3"/>
      <c r="E17" s="3"/>
      <c r="F17" s="3">
        <v>24</v>
      </c>
      <c r="G17" s="3">
        <v>2</v>
      </c>
      <c r="H17" s="3">
        <v>24</v>
      </c>
      <c r="I17" s="3"/>
      <c r="J17" s="3">
        <v>24</v>
      </c>
      <c r="K17" s="3">
        <v>2</v>
      </c>
      <c r="L17" s="3">
        <v>24</v>
      </c>
      <c r="M17" s="3"/>
      <c r="N17" s="3">
        <v>24</v>
      </c>
      <c r="O17" s="3">
        <v>2</v>
      </c>
      <c r="P17" s="3">
        <v>24</v>
      </c>
      <c r="Q17" s="3"/>
      <c r="R17" s="3">
        <v>24</v>
      </c>
      <c r="S17" s="3">
        <v>2</v>
      </c>
      <c r="T17" s="3">
        <v>24</v>
      </c>
      <c r="U17" s="3"/>
      <c r="V17" s="3">
        <v>24</v>
      </c>
      <c r="W17" s="3">
        <v>2</v>
      </c>
      <c r="X17" s="3">
        <v>24</v>
      </c>
      <c r="Y17" s="3"/>
      <c r="Z17" s="3"/>
      <c r="AA17" s="3"/>
      <c r="AB17" s="3">
        <v>24</v>
      </c>
      <c r="AC17" s="3">
        <v>2</v>
      </c>
      <c r="AD17" s="3">
        <v>24</v>
      </c>
      <c r="AE17" s="3"/>
      <c r="AF17" s="3">
        <v>24</v>
      </c>
      <c r="AG17" s="3">
        <v>2</v>
      </c>
      <c r="AH17" s="3">
        <v>24</v>
      </c>
      <c r="AI17" s="3"/>
      <c r="AJ17" s="3">
        <v>24</v>
      </c>
      <c r="AK17" s="3">
        <v>2</v>
      </c>
      <c r="AL17" s="3">
        <v>24</v>
      </c>
      <c r="AM17" s="3"/>
      <c r="AN17" s="3">
        <v>24</v>
      </c>
      <c r="AO17" s="3">
        <v>2</v>
      </c>
      <c r="AP17" s="3">
        <v>24</v>
      </c>
      <c r="AQ17" s="3"/>
      <c r="AR17" s="3">
        <v>24</v>
      </c>
      <c r="AS17" s="3">
        <v>2</v>
      </c>
      <c r="AT17" s="3">
        <v>24</v>
      </c>
    </row>
    <row r="18" spans="3:46" x14ac:dyDescent="0.3">
      <c r="C18" s="8" t="s">
        <v>89</v>
      </c>
      <c r="F18">
        <v>384</v>
      </c>
      <c r="G18">
        <v>384</v>
      </c>
      <c r="H18">
        <v>768</v>
      </c>
      <c r="J18">
        <v>384</v>
      </c>
      <c r="K18">
        <v>384</v>
      </c>
      <c r="L18">
        <v>768</v>
      </c>
      <c r="N18">
        <v>384</v>
      </c>
      <c r="O18">
        <v>384</v>
      </c>
      <c r="P18">
        <v>768</v>
      </c>
      <c r="R18">
        <v>384</v>
      </c>
      <c r="S18">
        <v>384</v>
      </c>
      <c r="T18">
        <v>768</v>
      </c>
      <c r="V18">
        <v>384</v>
      </c>
      <c r="W18">
        <v>384</v>
      </c>
      <c r="X18">
        <v>768</v>
      </c>
      <c r="AB18">
        <v>384</v>
      </c>
      <c r="AC18">
        <v>384</v>
      </c>
      <c r="AD18">
        <v>768</v>
      </c>
      <c r="AF18">
        <v>384</v>
      </c>
      <c r="AG18">
        <v>384</v>
      </c>
      <c r="AH18">
        <v>768</v>
      </c>
      <c r="AJ18">
        <v>384</v>
      </c>
      <c r="AK18">
        <v>384</v>
      </c>
      <c r="AL18">
        <v>768</v>
      </c>
      <c r="AN18">
        <v>384</v>
      </c>
      <c r="AO18">
        <v>384</v>
      </c>
      <c r="AP18">
        <v>768</v>
      </c>
      <c r="AR18">
        <v>384</v>
      </c>
      <c r="AS18">
        <v>384</v>
      </c>
      <c r="AT18">
        <v>768</v>
      </c>
    </row>
    <row r="19" spans="3:46" x14ac:dyDescent="0.3">
      <c r="C19" s="8" t="s">
        <v>76</v>
      </c>
      <c r="F19" s="2">
        <v>376.05</v>
      </c>
      <c r="G19" s="2">
        <v>376.05</v>
      </c>
      <c r="H19" s="2">
        <v>435.38</v>
      </c>
      <c r="J19" s="2">
        <v>370.31</v>
      </c>
      <c r="K19" s="2">
        <v>370.31</v>
      </c>
      <c r="L19" s="2">
        <v>435.38</v>
      </c>
      <c r="N19" s="2">
        <v>370.31</v>
      </c>
      <c r="O19" s="2">
        <v>370.31</v>
      </c>
      <c r="P19" s="2">
        <v>435.38</v>
      </c>
      <c r="R19" s="2">
        <v>345.56</v>
      </c>
      <c r="S19" s="2">
        <v>372.31</v>
      </c>
      <c r="T19" s="2">
        <v>489.38</v>
      </c>
      <c r="V19" s="2">
        <v>345.56</v>
      </c>
      <c r="W19" s="2">
        <v>345.56</v>
      </c>
      <c r="X19" s="2">
        <v>435.38</v>
      </c>
      <c r="AB19" s="2">
        <v>379.95</v>
      </c>
      <c r="AC19" s="2">
        <v>379.95</v>
      </c>
      <c r="AD19" s="2">
        <v>763.38</v>
      </c>
      <c r="AF19" s="2">
        <v>379.95</v>
      </c>
      <c r="AG19" s="2">
        <v>379.95</v>
      </c>
      <c r="AH19" s="2">
        <v>763.38</v>
      </c>
      <c r="AJ19" s="2">
        <v>381.3</v>
      </c>
      <c r="AK19" s="2">
        <v>381.3</v>
      </c>
      <c r="AL19" s="2">
        <v>763.38</v>
      </c>
      <c r="AN19" s="2">
        <v>381.23</v>
      </c>
      <c r="AO19" s="2">
        <v>381.23</v>
      </c>
      <c r="AP19" s="2">
        <v>763.38</v>
      </c>
      <c r="AR19" s="2">
        <v>381.23</v>
      </c>
      <c r="AS19" s="2">
        <v>381.23</v>
      </c>
      <c r="AT19" s="2">
        <v>763.38</v>
      </c>
    </row>
    <row r="20" spans="3:46" x14ac:dyDescent="0.3">
      <c r="C20" s="8" t="s">
        <v>77</v>
      </c>
      <c r="D20" s="2"/>
      <c r="E20" s="2"/>
      <c r="F20" s="2">
        <v>12242.72</v>
      </c>
      <c r="G20" s="2">
        <v>12242.27</v>
      </c>
      <c r="H20" s="2">
        <v>12233.44</v>
      </c>
      <c r="I20" s="2"/>
      <c r="J20" s="2">
        <v>12228.02</v>
      </c>
      <c r="K20" s="2">
        <v>12227.17</v>
      </c>
      <c r="L20" s="2">
        <v>12233.39</v>
      </c>
      <c r="M20" s="2"/>
      <c r="N20" s="2">
        <v>12243.7</v>
      </c>
      <c r="O20" s="2">
        <v>12239.98</v>
      </c>
      <c r="P20" s="2">
        <v>12240.62</v>
      </c>
      <c r="Q20" s="2"/>
      <c r="R20" s="2">
        <v>12261.02</v>
      </c>
      <c r="S20" s="2">
        <v>12266.33</v>
      </c>
      <c r="T20" s="2">
        <v>11796.11</v>
      </c>
      <c r="U20" s="2"/>
      <c r="V20" s="2">
        <v>12820.39</v>
      </c>
      <c r="W20" s="2">
        <v>12893.91</v>
      </c>
      <c r="X20" s="2">
        <v>12840.22</v>
      </c>
      <c r="Y20" s="2"/>
      <c r="Z20" s="2"/>
      <c r="AA20" s="2"/>
      <c r="AB20" s="2">
        <v>6082.59</v>
      </c>
      <c r="AC20" s="2">
        <v>6082.53</v>
      </c>
      <c r="AD20" s="2">
        <v>5709.12</v>
      </c>
      <c r="AE20" s="2"/>
      <c r="AF20" s="2">
        <v>6082.58</v>
      </c>
      <c r="AG20" s="2">
        <v>6082.33</v>
      </c>
      <c r="AH20" s="2">
        <v>5709.11</v>
      </c>
      <c r="AI20" s="2"/>
      <c r="AJ20" s="2">
        <v>6087.45</v>
      </c>
      <c r="AK20" s="2">
        <v>6086.41</v>
      </c>
      <c r="AL20" s="2">
        <v>5713.98</v>
      </c>
      <c r="AM20" s="2"/>
      <c r="AN20" s="2">
        <v>6090.38</v>
      </c>
      <c r="AO20" s="2">
        <v>6213.14</v>
      </c>
      <c r="AP20" s="2">
        <v>5716.91</v>
      </c>
      <c r="AQ20" s="2"/>
      <c r="AR20" s="2">
        <v>6087.94</v>
      </c>
      <c r="AS20" s="2">
        <v>6283.38</v>
      </c>
      <c r="AT20" s="2">
        <v>5714.47</v>
      </c>
    </row>
    <row r="21" spans="3:46" x14ac:dyDescent="0.3">
      <c r="C21" s="8" t="s">
        <v>90</v>
      </c>
      <c r="F21" s="2">
        <v>2.61</v>
      </c>
      <c r="G21">
        <v>1.32</v>
      </c>
      <c r="H21">
        <v>2.61</v>
      </c>
      <c r="J21" s="2">
        <v>2.8</v>
      </c>
      <c r="K21">
        <v>1.37</v>
      </c>
      <c r="L21">
        <v>2.8</v>
      </c>
      <c r="N21">
        <v>6.06</v>
      </c>
      <c r="O21">
        <v>1.78</v>
      </c>
      <c r="P21">
        <v>6.06</v>
      </c>
      <c r="R21">
        <v>4.95</v>
      </c>
      <c r="S21">
        <v>1.28</v>
      </c>
      <c r="T21">
        <v>5.41</v>
      </c>
      <c r="V21">
        <v>5.81</v>
      </c>
      <c r="W21">
        <v>1.61</v>
      </c>
      <c r="X21">
        <v>6.62</v>
      </c>
      <c r="AB21">
        <v>5.0199999999999996</v>
      </c>
      <c r="AC21">
        <v>2.86</v>
      </c>
      <c r="AD21">
        <v>5.69</v>
      </c>
      <c r="AF21">
        <v>6.47</v>
      </c>
      <c r="AG21">
        <v>3.05</v>
      </c>
      <c r="AH21">
        <v>7.37</v>
      </c>
      <c r="AJ21">
        <v>8.36</v>
      </c>
      <c r="AK21">
        <v>3.31</v>
      </c>
      <c r="AL21">
        <v>9.65</v>
      </c>
      <c r="AN21">
        <v>8.76</v>
      </c>
      <c r="AO21">
        <v>3.05</v>
      </c>
      <c r="AP21">
        <v>10.09</v>
      </c>
      <c r="AR21">
        <v>9.73</v>
      </c>
      <c r="AS21">
        <v>3.09</v>
      </c>
      <c r="AT21">
        <v>11.52</v>
      </c>
    </row>
    <row r="22" spans="3:46" x14ac:dyDescent="0.3">
      <c r="C22" s="8" t="s">
        <v>91</v>
      </c>
      <c r="F22" s="2">
        <v>2.84</v>
      </c>
      <c r="G22">
        <v>1.44</v>
      </c>
      <c r="H22">
        <v>2.84</v>
      </c>
      <c r="J22" s="2">
        <v>2.99</v>
      </c>
      <c r="K22">
        <v>1.46</v>
      </c>
      <c r="L22">
        <v>2.99</v>
      </c>
      <c r="N22">
        <v>4.41</v>
      </c>
      <c r="O22">
        <v>1.3</v>
      </c>
      <c r="P22">
        <v>4.4000000000000004</v>
      </c>
      <c r="R22">
        <v>6.14</v>
      </c>
      <c r="S22">
        <v>1.54</v>
      </c>
      <c r="T22">
        <v>5.73</v>
      </c>
      <c r="V22">
        <v>5.36</v>
      </c>
      <c r="W22">
        <v>1.46</v>
      </c>
      <c r="X22">
        <v>5.12</v>
      </c>
      <c r="AB22">
        <v>1.07</v>
      </c>
      <c r="AC22">
        <v>0.61</v>
      </c>
      <c r="AD22">
        <v>0.45</v>
      </c>
      <c r="AF22">
        <v>1.49</v>
      </c>
      <c r="AG22">
        <v>0.7</v>
      </c>
      <c r="AH22">
        <v>0.75</v>
      </c>
      <c r="AJ22">
        <v>1.68</v>
      </c>
      <c r="AK22">
        <v>0.67</v>
      </c>
      <c r="AL22">
        <v>1.1000000000000001</v>
      </c>
      <c r="AN22">
        <v>2.44</v>
      </c>
      <c r="AO22">
        <v>0.85</v>
      </c>
      <c r="AP22">
        <v>1.65</v>
      </c>
      <c r="AR22">
        <v>2.8</v>
      </c>
      <c r="AS22">
        <v>0.85</v>
      </c>
      <c r="AT22">
        <v>1.87</v>
      </c>
    </row>
    <row r="23" spans="3:46" x14ac:dyDescent="0.3">
      <c r="C23" s="8" t="s">
        <v>80</v>
      </c>
      <c r="F23" s="2">
        <v>1.5</v>
      </c>
      <c r="G23">
        <v>0.76</v>
      </c>
      <c r="H23" s="2">
        <v>1.5</v>
      </c>
      <c r="J23" s="2">
        <v>2.48</v>
      </c>
      <c r="K23">
        <v>1.21</v>
      </c>
      <c r="L23" s="2">
        <v>2.48</v>
      </c>
      <c r="N23">
        <v>6.19</v>
      </c>
      <c r="O23">
        <v>1.82</v>
      </c>
      <c r="P23">
        <v>6.19</v>
      </c>
      <c r="R23">
        <v>8.4700000000000006</v>
      </c>
      <c r="S23">
        <v>2.14</v>
      </c>
      <c r="T23">
        <v>8.73</v>
      </c>
      <c r="V23">
        <v>9.67</v>
      </c>
      <c r="W23">
        <v>2.64</v>
      </c>
      <c r="X23">
        <v>10.43</v>
      </c>
      <c r="AB23">
        <v>6.85</v>
      </c>
      <c r="AC23">
        <v>3.89</v>
      </c>
      <c r="AD23">
        <v>7.18</v>
      </c>
      <c r="AF23">
        <v>11.58</v>
      </c>
      <c r="AG23">
        <v>5.46</v>
      </c>
      <c r="AH23">
        <v>12.2</v>
      </c>
      <c r="AJ23">
        <v>16.8</v>
      </c>
      <c r="AK23">
        <v>6.66</v>
      </c>
      <c r="AL23">
        <v>18.170000000000002</v>
      </c>
      <c r="AN23">
        <v>21.82</v>
      </c>
      <c r="AO23">
        <v>7.58</v>
      </c>
      <c r="AP23">
        <v>23.06</v>
      </c>
      <c r="AR23">
        <v>25.51</v>
      </c>
      <c r="AS23">
        <v>7.9</v>
      </c>
      <c r="AT23">
        <v>27.5</v>
      </c>
    </row>
  </sheetData>
  <phoneticPr fontId="1" type="noConversion"/>
  <hyperlinks>
    <hyperlink ref="D10" r:id="rId1" xr:uid="{240246CA-BB9A-4BBF-A88F-1A65B7786D41}"/>
    <hyperlink ref="Z10" r:id="rId2" xr:uid="{92F8E826-061D-4A9F-81B5-66A7C33D6D2E}"/>
  </hyperlinks>
  <pageMargins left="0.7" right="0.7" top="0.75" bottom="0.75" header="0.3" footer="0.3"/>
  <pageSetup orientation="portrait" horizontalDpi="300" verticalDpi="300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81FB6E-F3D0-4F20-B65F-41729C1C774E}">
  <dimension ref="C7:O23"/>
  <sheetViews>
    <sheetView topLeftCell="E7" zoomScale="136" zoomScaleNormal="136" workbookViewId="0">
      <selection activeCell="H12" sqref="H12"/>
    </sheetView>
  </sheetViews>
  <sheetFormatPr defaultRowHeight="14.5" x14ac:dyDescent="0.3"/>
  <cols>
    <col min="3" max="3" width="30.296875" customWidth="1"/>
    <col min="4" max="4" width="27" customWidth="1"/>
    <col min="5" max="5" width="26.69921875" customWidth="1"/>
    <col min="6" max="6" width="27.09765625" customWidth="1"/>
    <col min="7" max="7" width="32.19921875" customWidth="1"/>
    <col min="8" max="8" width="33.296875" customWidth="1"/>
    <col min="9" max="9" width="32.5" customWidth="1"/>
    <col min="10" max="10" width="20.69921875" customWidth="1"/>
    <col min="11" max="11" width="28.5" customWidth="1"/>
    <col min="12" max="12" width="27.69921875" customWidth="1"/>
    <col min="13" max="13" width="32.09765625" customWidth="1"/>
    <col min="14" max="14" width="32.8984375" customWidth="1"/>
    <col min="15" max="15" width="33.3984375" customWidth="1"/>
    <col min="16" max="16" width="21.5" customWidth="1"/>
  </cols>
  <sheetData>
    <row r="7" spans="3:15" x14ac:dyDescent="0.3">
      <c r="C7" s="8" t="s">
        <v>56</v>
      </c>
      <c r="D7" t="s">
        <v>7</v>
      </c>
      <c r="J7" t="s">
        <v>7</v>
      </c>
    </row>
    <row r="8" spans="3:15" x14ac:dyDescent="0.3">
      <c r="C8" s="8" t="s">
        <v>1</v>
      </c>
      <c r="E8">
        <v>128</v>
      </c>
      <c r="F8">
        <v>256</v>
      </c>
      <c r="G8">
        <v>512</v>
      </c>
      <c r="H8">
        <v>1024</v>
      </c>
      <c r="I8">
        <v>2048</v>
      </c>
      <c r="K8">
        <v>128</v>
      </c>
      <c r="L8">
        <v>256</v>
      </c>
      <c r="M8">
        <v>512</v>
      </c>
      <c r="N8">
        <v>1024</v>
      </c>
      <c r="O8">
        <v>2048</v>
      </c>
    </row>
    <row r="9" spans="3:15" x14ac:dyDescent="0.3">
      <c r="C9" s="8" t="s">
        <v>81</v>
      </c>
      <c r="E9" t="s">
        <v>82</v>
      </c>
      <c r="F9" t="s">
        <v>82</v>
      </c>
      <c r="G9" t="s">
        <v>83</v>
      </c>
      <c r="H9" t="s">
        <v>84</v>
      </c>
      <c r="I9" t="s">
        <v>85</v>
      </c>
      <c r="K9" t="s">
        <v>82</v>
      </c>
      <c r="L9" t="s">
        <v>82</v>
      </c>
      <c r="M9" t="s">
        <v>83</v>
      </c>
      <c r="N9" t="s">
        <v>84</v>
      </c>
      <c r="O9" t="s">
        <v>85</v>
      </c>
    </row>
    <row r="10" spans="3:15" x14ac:dyDescent="0.3">
      <c r="C10" s="8" t="s">
        <v>74</v>
      </c>
      <c r="D10" t="s">
        <v>72</v>
      </c>
      <c r="J10" t="s">
        <v>73</v>
      </c>
    </row>
    <row r="11" spans="3:15" x14ac:dyDescent="0.3">
      <c r="C11" s="8" t="s">
        <v>75</v>
      </c>
      <c r="D11" t="s">
        <v>55</v>
      </c>
      <c r="J11" t="s">
        <v>55</v>
      </c>
    </row>
    <row r="12" spans="3:15" x14ac:dyDescent="0.3">
      <c r="C12" s="8" t="s">
        <v>70</v>
      </c>
      <c r="D12" s="4" t="s">
        <v>63</v>
      </c>
      <c r="J12" s="4" t="s">
        <v>64</v>
      </c>
    </row>
    <row r="13" spans="3:15" x14ac:dyDescent="0.3">
      <c r="C13" s="8" t="s">
        <v>65</v>
      </c>
      <c r="D13">
        <v>2355833220</v>
      </c>
      <c r="J13">
        <v>1282454292</v>
      </c>
    </row>
    <row r="14" spans="3:15" x14ac:dyDescent="0.3">
      <c r="C14" s="8" t="s">
        <v>66</v>
      </c>
      <c r="D14" s="4"/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4"/>
      <c r="K14" s="5">
        <v>0</v>
      </c>
      <c r="L14" s="5">
        <v>0</v>
      </c>
      <c r="M14" s="5">
        <v>0</v>
      </c>
      <c r="N14" s="5">
        <v>0</v>
      </c>
      <c r="O14" s="5">
        <v>0</v>
      </c>
    </row>
    <row r="15" spans="3:15" x14ac:dyDescent="0.3">
      <c r="C15" s="8" t="s">
        <v>68</v>
      </c>
      <c r="E15" s="3">
        <v>41000244</v>
      </c>
      <c r="F15" s="3">
        <v>41000244</v>
      </c>
      <c r="G15" s="3">
        <v>41000244</v>
      </c>
      <c r="H15" s="3">
        <v>41000244</v>
      </c>
      <c r="I15" s="3">
        <v>41000244</v>
      </c>
      <c r="K15" s="3">
        <v>23011360</v>
      </c>
      <c r="L15" s="3">
        <v>23011360</v>
      </c>
      <c r="M15" s="3">
        <v>23011360</v>
      </c>
      <c r="N15" s="3">
        <v>23011360</v>
      </c>
      <c r="O15" s="3">
        <v>23011360</v>
      </c>
    </row>
    <row r="16" spans="3:15" x14ac:dyDescent="0.3">
      <c r="C16" s="8" t="s">
        <v>69</v>
      </c>
      <c r="D16" s="3"/>
      <c r="E16" s="3">
        <v>10413984</v>
      </c>
      <c r="F16" s="3">
        <v>10397824</v>
      </c>
      <c r="G16" s="3">
        <v>10425712</v>
      </c>
      <c r="H16" s="3">
        <v>10443792</v>
      </c>
      <c r="I16" s="3">
        <v>11012192</v>
      </c>
      <c r="J16" s="3"/>
      <c r="K16" s="3">
        <v>5719392</v>
      </c>
      <c r="L16" s="3">
        <v>5720560</v>
      </c>
      <c r="M16" s="3">
        <v>5730144</v>
      </c>
      <c r="N16" s="3">
        <v>5734816</v>
      </c>
      <c r="O16" s="3">
        <v>5723904</v>
      </c>
    </row>
    <row r="17" spans="3:15" x14ac:dyDescent="0.3">
      <c r="C17" s="8" t="s">
        <v>67</v>
      </c>
      <c r="D17" s="4"/>
      <c r="E17" s="5">
        <f>E16/E15</f>
        <v>0.25399809815765972</v>
      </c>
      <c r="F17" s="5">
        <f>F16/F15</f>
        <v>0.25360395416183379</v>
      </c>
      <c r="G17" s="5">
        <f>G16/G15</f>
        <v>0.2542841452358186</v>
      </c>
      <c r="H17" s="5">
        <f>H16/H15</f>
        <v>0.25472511822124766</v>
      </c>
      <c r="I17" s="5">
        <f>I16/I15</f>
        <v>0.26858845035166135</v>
      </c>
      <c r="J17" s="4"/>
      <c r="K17" s="5">
        <f>K16/K15</f>
        <v>0.24854645705425493</v>
      </c>
      <c r="L17" s="5">
        <f>L16/L15</f>
        <v>0.24859721459314008</v>
      </c>
      <c r="M17" s="5">
        <f>M16/M15</f>
        <v>0.24901370453549898</v>
      </c>
      <c r="N17" s="5">
        <f>N16/N15</f>
        <v>0.24921673469103955</v>
      </c>
      <c r="O17" s="5">
        <f>O16/O15</f>
        <v>0.24874253412227701</v>
      </c>
    </row>
    <row r="18" spans="3:15" x14ac:dyDescent="0.3">
      <c r="C18" s="8" t="s">
        <v>57</v>
      </c>
      <c r="E18">
        <v>384</v>
      </c>
      <c r="F18">
        <v>384</v>
      </c>
      <c r="G18">
        <v>384</v>
      </c>
      <c r="H18">
        <v>384</v>
      </c>
      <c r="I18">
        <v>384</v>
      </c>
      <c r="K18">
        <v>384</v>
      </c>
      <c r="L18">
        <v>384</v>
      </c>
      <c r="M18">
        <v>384</v>
      </c>
      <c r="N18">
        <v>384</v>
      </c>
      <c r="O18">
        <v>384</v>
      </c>
    </row>
    <row r="19" spans="3:15" x14ac:dyDescent="0.3">
      <c r="C19" s="8" t="s">
        <v>76</v>
      </c>
      <c r="E19">
        <v>376.05</v>
      </c>
      <c r="F19">
        <v>370.31</v>
      </c>
      <c r="G19">
        <v>370.31</v>
      </c>
      <c r="H19">
        <v>345.56</v>
      </c>
      <c r="I19">
        <v>345.56</v>
      </c>
      <c r="K19">
        <v>379.95</v>
      </c>
      <c r="L19">
        <v>379.95</v>
      </c>
      <c r="M19">
        <v>381.3</v>
      </c>
      <c r="N19">
        <v>381.23</v>
      </c>
      <c r="O19">
        <v>381.23</v>
      </c>
    </row>
    <row r="20" spans="3:15" x14ac:dyDescent="0.3">
      <c r="C20" s="8" t="s">
        <v>77</v>
      </c>
      <c r="D20" s="2"/>
      <c r="E20" s="2">
        <v>12242.72</v>
      </c>
      <c r="F20" s="2">
        <v>12227.61</v>
      </c>
      <c r="G20" s="2">
        <v>12242.92</v>
      </c>
      <c r="H20" s="2">
        <v>12261.02</v>
      </c>
      <c r="I20" s="2">
        <v>12820.39</v>
      </c>
      <c r="J20" s="2"/>
      <c r="K20" s="2">
        <v>6082.58</v>
      </c>
      <c r="L20" s="2">
        <v>6082.53</v>
      </c>
      <c r="M20" s="2">
        <v>6087.45</v>
      </c>
      <c r="N20" s="2">
        <v>6090.38</v>
      </c>
      <c r="O20" s="2">
        <v>6087.94</v>
      </c>
    </row>
    <row r="21" spans="3:15" x14ac:dyDescent="0.3">
      <c r="C21" s="8" t="s">
        <v>78</v>
      </c>
      <c r="E21">
        <v>1.29</v>
      </c>
      <c r="F21">
        <v>1.39</v>
      </c>
      <c r="G21">
        <v>6.06</v>
      </c>
      <c r="H21">
        <v>4.95</v>
      </c>
      <c r="I21">
        <v>6.1</v>
      </c>
      <c r="K21">
        <v>2.37</v>
      </c>
      <c r="L21">
        <v>3.06</v>
      </c>
      <c r="M21">
        <v>8.36</v>
      </c>
      <c r="N21">
        <v>8.76</v>
      </c>
      <c r="O21">
        <v>11.19</v>
      </c>
    </row>
    <row r="22" spans="3:15" x14ac:dyDescent="0.3">
      <c r="C22" s="8" t="s">
        <v>79</v>
      </c>
      <c r="E22">
        <v>1.4</v>
      </c>
      <c r="F22">
        <v>1.48</v>
      </c>
      <c r="G22">
        <v>4.41</v>
      </c>
      <c r="H22">
        <v>6.14</v>
      </c>
      <c r="I22">
        <v>5.63</v>
      </c>
      <c r="K22">
        <v>0.51</v>
      </c>
      <c r="L22">
        <v>0.7</v>
      </c>
      <c r="M22">
        <v>1.68</v>
      </c>
      <c r="N22">
        <v>2.44</v>
      </c>
      <c r="O22">
        <v>3.22</v>
      </c>
    </row>
    <row r="23" spans="3:15" x14ac:dyDescent="0.3">
      <c r="C23" s="8" t="s">
        <v>80</v>
      </c>
      <c r="E23">
        <v>0.74</v>
      </c>
      <c r="F23">
        <v>1.23</v>
      </c>
      <c r="G23">
        <v>6.19</v>
      </c>
      <c r="H23">
        <v>8.4700000000000006</v>
      </c>
      <c r="I23">
        <v>10.15</v>
      </c>
      <c r="K23">
        <v>3.23</v>
      </c>
      <c r="L23">
        <v>5.47</v>
      </c>
      <c r="M23">
        <v>16.8</v>
      </c>
      <c r="N23">
        <v>21.82</v>
      </c>
      <c r="O23">
        <v>29.35</v>
      </c>
    </row>
  </sheetData>
  <phoneticPr fontId="1" type="noConversion"/>
  <hyperlinks>
    <hyperlink ref="D12" r:id="rId1" xr:uid="{FF38948C-7373-4731-BC30-D0803660011D}"/>
    <hyperlink ref="J12" r:id="rId2" xr:uid="{C9302DB6-527E-49D3-BF7A-8238AE74D41F}"/>
  </hyperlinks>
  <pageMargins left="0.7" right="0.7" top="0.75" bottom="0.75" header="0.3" footer="0.3"/>
  <pageSetup orientation="portrait" horizontalDpi="300" verticalDpi="30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MLEK_FVP</vt:lpstr>
      <vt:lpstr>MLEK_FVP_ASR_CMP</vt:lpstr>
      <vt:lpstr>MLEK_FVP_ASR_CONFORMER</vt:lpstr>
      <vt:lpstr>MLEK_FVP_ASR_CONFORMER_2</vt:lpstr>
      <vt:lpstr>MLEK_FVP_IMG_CLASS_DEIT_TINY</vt:lpstr>
      <vt:lpstr>MLEK_FVP_IMG_CLASS_DEIT_TINY_2</vt:lpstr>
      <vt:lpstr>MLEK_VELA</vt:lpstr>
      <vt:lpstr>MLEK_VELA_DEF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MS30 CCLi8</dc:creator>
  <cp:lastModifiedBy>MS30 CCLi8</cp:lastModifiedBy>
  <dcterms:created xsi:type="dcterms:W3CDTF">2015-06-05T18:17:20Z</dcterms:created>
  <dcterms:modified xsi:type="dcterms:W3CDTF">2026-07-15T06:00:46Z</dcterms:modified>
</cp:coreProperties>
</file>